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rath.S\Documents\Business analytics\project\cost revenue profit project\materials\"/>
    </mc:Choice>
  </mc:AlternateContent>
  <xr:revisionPtr revIDLastSave="0" documentId="13_ncr:1_{A2C47428-AB05-4A74-A492-28379028EF21}" xr6:coauthVersionLast="36" xr6:coauthVersionMax="36" xr10:uidLastSave="{00000000-0000-0000-0000-000000000000}"/>
  <bookViews>
    <workbookView xWindow="0" yWindow="0" windowWidth="20490" windowHeight="7545" firstSheet="6" activeTab="8" xr2:uid="{65B6464C-2CB9-42E4-AC41-56573D2BC5EF}"/>
  </bookViews>
  <sheets>
    <sheet name="Cost Sheet Elements" sheetId="1" r:id="rId1"/>
    <sheet name="Base Price" sheetId="4" r:id="rId2"/>
    <sheet name="Cost Sheet" sheetId="2" r:id="rId3"/>
    <sheet name="Income Statement" sheetId="3" r:id="rId4"/>
    <sheet name="Per Unit &amp; Monthly FX Impact" sheetId="5" r:id="rId5"/>
    <sheet name="Quarterly FX Impact" sheetId="6" r:id="rId6"/>
    <sheet name="Per Unit Hedging Impact" sheetId="7" r:id="rId7"/>
    <sheet name="Monthly Hedging Impact" sheetId="8" r:id="rId8"/>
    <sheet name="Quarterly Hedging Effect" sheetId="9" r:id="rId9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33" i="9" l="1"/>
  <c r="N32" i="9"/>
  <c r="N22" i="9"/>
  <c r="N21" i="9"/>
  <c r="N11" i="9"/>
  <c r="N10" i="9"/>
  <c r="N29" i="9" l="1"/>
  <c r="N28" i="9"/>
  <c r="C19" i="9"/>
  <c r="Q7" i="9" l="1"/>
  <c r="Q5" i="9"/>
  <c r="P7" i="9"/>
  <c r="O7" i="9"/>
  <c r="P6" i="9"/>
  <c r="Q6" i="9" s="1"/>
  <c r="O6" i="9"/>
  <c r="P5" i="9"/>
  <c r="O5" i="9"/>
  <c r="L6" i="9"/>
  <c r="K51" i="5" l="1"/>
  <c r="K50" i="5"/>
  <c r="K49" i="5"/>
  <c r="K48" i="5"/>
  <c r="K47" i="5"/>
  <c r="K46" i="5"/>
  <c r="K45" i="5"/>
  <c r="K44" i="5"/>
  <c r="K43" i="5"/>
  <c r="K42" i="5"/>
  <c r="K41" i="5"/>
  <c r="K40" i="5"/>
  <c r="K34" i="5"/>
  <c r="K33" i="5"/>
  <c r="K32" i="5"/>
  <c r="K31" i="5"/>
  <c r="K30" i="5"/>
  <c r="K29" i="5"/>
  <c r="K28" i="5"/>
  <c r="K27" i="5"/>
  <c r="K26" i="5"/>
  <c r="K25" i="5"/>
  <c r="K24" i="5"/>
  <c r="K23" i="5"/>
  <c r="G51" i="5"/>
  <c r="G50" i="5"/>
  <c r="G49" i="5"/>
  <c r="G48" i="5"/>
  <c r="G47" i="5"/>
  <c r="G46" i="5"/>
  <c r="G45" i="5"/>
  <c r="G44" i="5"/>
  <c r="G43" i="5"/>
  <c r="G42" i="5"/>
  <c r="G41" i="5"/>
  <c r="G40" i="5"/>
  <c r="G34" i="5"/>
  <c r="G33" i="5"/>
  <c r="G32" i="5"/>
  <c r="G31" i="5"/>
  <c r="G30" i="5"/>
  <c r="G29" i="5"/>
  <c r="G28" i="5"/>
  <c r="G27" i="5"/>
  <c r="G26" i="5"/>
  <c r="G25" i="5"/>
  <c r="G24" i="5"/>
  <c r="G23" i="5"/>
  <c r="K7" i="5"/>
  <c r="K8" i="5"/>
  <c r="K9" i="5"/>
  <c r="K10" i="5"/>
  <c r="K11" i="5"/>
  <c r="K12" i="5"/>
  <c r="K13" i="5"/>
  <c r="K14" i="5"/>
  <c r="K15" i="5"/>
  <c r="K16" i="5"/>
  <c r="K17" i="5"/>
  <c r="K6" i="5"/>
  <c r="L6" i="5"/>
  <c r="L7" i="5"/>
  <c r="G7" i="5"/>
  <c r="G8" i="5"/>
  <c r="G9" i="5"/>
  <c r="G10" i="5"/>
  <c r="G11" i="5"/>
  <c r="G12" i="5"/>
  <c r="G13" i="5"/>
  <c r="G14" i="5"/>
  <c r="G15" i="5"/>
  <c r="G16" i="5"/>
  <c r="G17" i="5"/>
  <c r="G6" i="5"/>
  <c r="E43" i="8" l="1"/>
  <c r="E50" i="8"/>
  <c r="H50" i="8" s="1"/>
  <c r="E49" i="8"/>
  <c r="H49" i="8" s="1"/>
  <c r="E48" i="8"/>
  <c r="H48" i="8" s="1"/>
  <c r="E47" i="8"/>
  <c r="E46" i="8"/>
  <c r="H46" i="8" s="1"/>
  <c r="E45" i="8"/>
  <c r="H45" i="8" s="1"/>
  <c r="E44" i="8"/>
  <c r="H44" i="8" s="1"/>
  <c r="E42" i="8"/>
  <c r="H42" i="8" s="1"/>
  <c r="E41" i="8"/>
  <c r="H41" i="8" s="1"/>
  <c r="E40" i="8"/>
  <c r="H40" i="8" s="1"/>
  <c r="E39" i="8"/>
  <c r="H39" i="8" s="1"/>
  <c r="E33" i="8"/>
  <c r="E32" i="8"/>
  <c r="H32" i="8" s="1"/>
  <c r="E31" i="8"/>
  <c r="H31" i="8" s="1"/>
  <c r="E30" i="8"/>
  <c r="H30" i="8" s="1"/>
  <c r="E29" i="8"/>
  <c r="H29" i="8" s="1"/>
  <c r="E28" i="8"/>
  <c r="H28" i="8" s="1"/>
  <c r="E27" i="8"/>
  <c r="H27" i="8" s="1"/>
  <c r="E26" i="8"/>
  <c r="H26" i="8" s="1"/>
  <c r="E25" i="8"/>
  <c r="H25" i="8" s="1"/>
  <c r="E24" i="8"/>
  <c r="H24" i="8" s="1"/>
  <c r="E23" i="8"/>
  <c r="H23" i="8" s="1"/>
  <c r="E22" i="8"/>
  <c r="H22" i="8" s="1"/>
  <c r="E6" i="8"/>
  <c r="H6" i="8" s="1"/>
  <c r="E7" i="8"/>
  <c r="H7" i="8" s="1"/>
  <c r="E8" i="8"/>
  <c r="H8" i="8" s="1"/>
  <c r="E9" i="8"/>
  <c r="H9" i="8" s="1"/>
  <c r="E10" i="8"/>
  <c r="H10" i="8" s="1"/>
  <c r="E11" i="8"/>
  <c r="H11" i="8" s="1"/>
  <c r="E12" i="8"/>
  <c r="H12" i="8" s="1"/>
  <c r="E13" i="8"/>
  <c r="H13" i="8" s="1"/>
  <c r="E14" i="8"/>
  <c r="H14" i="8" s="1"/>
  <c r="E15" i="8"/>
  <c r="H15" i="8" s="1"/>
  <c r="E16" i="8"/>
  <c r="H16" i="8" s="1"/>
  <c r="E5" i="8"/>
  <c r="H5" i="8" s="1"/>
  <c r="N6" i="7"/>
  <c r="K7" i="7"/>
  <c r="K8" i="7"/>
  <c r="K9" i="7"/>
  <c r="K10" i="7"/>
  <c r="K11" i="7"/>
  <c r="K12" i="7"/>
  <c r="K13" i="7"/>
  <c r="K14" i="7"/>
  <c r="K15" i="7"/>
  <c r="K16" i="7"/>
  <c r="K17" i="7"/>
  <c r="K6" i="7"/>
  <c r="K24" i="7"/>
  <c r="K25" i="7"/>
  <c r="K26" i="7"/>
  <c r="K27" i="7"/>
  <c r="K28" i="7"/>
  <c r="K29" i="7"/>
  <c r="K30" i="7"/>
  <c r="K31" i="7"/>
  <c r="K32" i="7"/>
  <c r="K33" i="7"/>
  <c r="K34" i="7"/>
  <c r="K23" i="7"/>
  <c r="K41" i="7"/>
  <c r="K42" i="7"/>
  <c r="K43" i="7"/>
  <c r="K44" i="7"/>
  <c r="K45" i="7"/>
  <c r="K46" i="7"/>
  <c r="K47" i="7"/>
  <c r="K48" i="7"/>
  <c r="K49" i="7"/>
  <c r="K50" i="7"/>
  <c r="K51" i="7"/>
  <c r="K40" i="7"/>
  <c r="E51" i="7"/>
  <c r="G51" i="7" s="1"/>
  <c r="G50" i="7"/>
  <c r="E50" i="7"/>
  <c r="F50" i="7" s="1"/>
  <c r="G49" i="7"/>
  <c r="F49" i="7"/>
  <c r="E49" i="7"/>
  <c r="E48" i="7"/>
  <c r="G48" i="7" s="1"/>
  <c r="E47" i="7"/>
  <c r="G47" i="7" s="1"/>
  <c r="G46" i="7"/>
  <c r="E46" i="7"/>
  <c r="F46" i="7" s="1"/>
  <c r="G45" i="7"/>
  <c r="F45" i="7"/>
  <c r="H45" i="7" s="1"/>
  <c r="I45" i="7" s="1"/>
  <c r="J45" i="7" s="1"/>
  <c r="N45" i="7" s="1"/>
  <c r="E45" i="7"/>
  <c r="E44" i="7"/>
  <c r="G44" i="7" s="1"/>
  <c r="F43" i="7"/>
  <c r="E43" i="7"/>
  <c r="G43" i="7" s="1"/>
  <c r="H43" i="7" s="1"/>
  <c r="I43" i="7" s="1"/>
  <c r="J43" i="7" s="1"/>
  <c r="G42" i="7"/>
  <c r="E42" i="7"/>
  <c r="F42" i="7" s="1"/>
  <c r="G41" i="7"/>
  <c r="F41" i="7"/>
  <c r="H41" i="7" s="1"/>
  <c r="I41" i="7" s="1"/>
  <c r="J41" i="7" s="1"/>
  <c r="N41" i="7" s="1"/>
  <c r="E41" i="7"/>
  <c r="E40" i="7"/>
  <c r="G40" i="7" s="1"/>
  <c r="E34" i="7"/>
  <c r="F34" i="7" s="1"/>
  <c r="E33" i="7"/>
  <c r="G33" i="7" s="1"/>
  <c r="G32" i="7"/>
  <c r="E32" i="7"/>
  <c r="F32" i="7" s="1"/>
  <c r="H32" i="7" s="1"/>
  <c r="I32" i="7" s="1"/>
  <c r="J32" i="7" s="1"/>
  <c r="N32" i="7" s="1"/>
  <c r="G31" i="7"/>
  <c r="F31" i="7"/>
  <c r="H31" i="7" s="1"/>
  <c r="I31" i="7" s="1"/>
  <c r="J31" i="7" s="1"/>
  <c r="N31" i="7" s="1"/>
  <c r="E31" i="7"/>
  <c r="E30" i="7"/>
  <c r="G30" i="7" s="1"/>
  <c r="E29" i="7"/>
  <c r="G29" i="7" s="1"/>
  <c r="G28" i="7"/>
  <c r="E28" i="7"/>
  <c r="F28" i="7" s="1"/>
  <c r="G27" i="7"/>
  <c r="F27" i="7"/>
  <c r="E27" i="7"/>
  <c r="E26" i="7"/>
  <c r="F26" i="7" s="1"/>
  <c r="E25" i="7"/>
  <c r="G25" i="7" s="1"/>
  <c r="G24" i="7"/>
  <c r="E24" i="7"/>
  <c r="F24" i="7" s="1"/>
  <c r="H24" i="7" s="1"/>
  <c r="I24" i="7" s="1"/>
  <c r="J24" i="7" s="1"/>
  <c r="N24" i="7" s="1"/>
  <c r="G23" i="7"/>
  <c r="F23" i="7"/>
  <c r="H23" i="7" s="1"/>
  <c r="I23" i="7" s="1"/>
  <c r="J23" i="7" s="1"/>
  <c r="E23" i="7"/>
  <c r="J7" i="7"/>
  <c r="N7" i="7" s="1"/>
  <c r="J8" i="7"/>
  <c r="N8" i="7" s="1"/>
  <c r="J9" i="7"/>
  <c r="N9" i="7" s="1"/>
  <c r="J10" i="7"/>
  <c r="N10" i="7" s="1"/>
  <c r="J11" i="7"/>
  <c r="N11" i="7" s="1"/>
  <c r="J12" i="7"/>
  <c r="N12" i="7" s="1"/>
  <c r="J13" i="7"/>
  <c r="N13" i="7" s="1"/>
  <c r="J14" i="7"/>
  <c r="N14" i="7" s="1"/>
  <c r="J15" i="7"/>
  <c r="N15" i="7" s="1"/>
  <c r="J16" i="7"/>
  <c r="N16" i="7" s="1"/>
  <c r="J17" i="7"/>
  <c r="N17" i="7" s="1"/>
  <c r="J6" i="7"/>
  <c r="I7" i="7"/>
  <c r="I8" i="7"/>
  <c r="I9" i="7"/>
  <c r="I10" i="7"/>
  <c r="I11" i="7"/>
  <c r="I12" i="7"/>
  <c r="I13" i="7"/>
  <c r="I14" i="7"/>
  <c r="I15" i="7"/>
  <c r="I16" i="7"/>
  <c r="I17" i="7"/>
  <c r="I6" i="7"/>
  <c r="H7" i="7"/>
  <c r="H8" i="7"/>
  <c r="H9" i="7"/>
  <c r="H10" i="7"/>
  <c r="H11" i="7"/>
  <c r="H12" i="7"/>
  <c r="H13" i="7"/>
  <c r="H14" i="7"/>
  <c r="H15" i="7"/>
  <c r="H16" i="7"/>
  <c r="H17" i="7"/>
  <c r="H6" i="7"/>
  <c r="G7" i="7"/>
  <c r="G8" i="7"/>
  <c r="G9" i="7"/>
  <c r="G10" i="7"/>
  <c r="G11" i="7"/>
  <c r="G12" i="7"/>
  <c r="G13" i="7"/>
  <c r="G14" i="7"/>
  <c r="G15" i="7"/>
  <c r="G16" i="7"/>
  <c r="G17" i="7"/>
  <c r="G6" i="7"/>
  <c r="F7" i="7"/>
  <c r="F8" i="7"/>
  <c r="F9" i="7"/>
  <c r="F10" i="7"/>
  <c r="F11" i="7"/>
  <c r="F12" i="7"/>
  <c r="F13" i="7"/>
  <c r="F14" i="7"/>
  <c r="F15" i="7"/>
  <c r="F16" i="7"/>
  <c r="F17" i="7"/>
  <c r="F6" i="7"/>
  <c r="E7" i="7"/>
  <c r="E8" i="7"/>
  <c r="E9" i="7"/>
  <c r="E10" i="7"/>
  <c r="E11" i="7"/>
  <c r="E12" i="7"/>
  <c r="E13" i="7"/>
  <c r="E14" i="7"/>
  <c r="E15" i="7"/>
  <c r="E16" i="7"/>
  <c r="E17" i="7"/>
  <c r="E6" i="7"/>
  <c r="C28" i="9" l="1"/>
  <c r="C8" i="9"/>
  <c r="E19" i="9"/>
  <c r="F19" i="9" s="1"/>
  <c r="C29" i="9"/>
  <c r="E29" i="9" s="1"/>
  <c r="F29" i="9" s="1"/>
  <c r="C7" i="9"/>
  <c r="C9" i="9"/>
  <c r="C20" i="9"/>
  <c r="E20" i="9" s="1"/>
  <c r="F20" i="9" s="1"/>
  <c r="C30" i="9"/>
  <c r="E30" i="9" s="1"/>
  <c r="F30" i="9" s="1"/>
  <c r="C18" i="9"/>
  <c r="E18" i="9" s="1"/>
  <c r="F18" i="9" s="1"/>
  <c r="C6" i="9"/>
  <c r="C17" i="9"/>
  <c r="E17" i="9" s="1"/>
  <c r="C31" i="9"/>
  <c r="E31" i="9" s="1"/>
  <c r="F31" i="9" s="1"/>
  <c r="E28" i="9"/>
  <c r="H47" i="8"/>
  <c r="H43" i="8"/>
  <c r="H33" i="8"/>
  <c r="N23" i="7"/>
  <c r="N43" i="7"/>
  <c r="H50" i="7"/>
  <c r="I50" i="7" s="1"/>
  <c r="J50" i="7" s="1"/>
  <c r="N50" i="7" s="1"/>
  <c r="H42" i="7"/>
  <c r="I42" i="7" s="1"/>
  <c r="J42" i="7" s="1"/>
  <c r="N42" i="7" s="1"/>
  <c r="H46" i="7"/>
  <c r="I46" i="7" s="1"/>
  <c r="J46" i="7" s="1"/>
  <c r="N46" i="7" s="1"/>
  <c r="H49" i="7"/>
  <c r="I49" i="7" s="1"/>
  <c r="J49" i="7" s="1"/>
  <c r="N49" i="7" s="1"/>
  <c r="F40" i="7"/>
  <c r="H40" i="7" s="1"/>
  <c r="I40" i="7" s="1"/>
  <c r="J40" i="7" s="1"/>
  <c r="N40" i="7" s="1"/>
  <c r="F44" i="7"/>
  <c r="H44" i="7" s="1"/>
  <c r="I44" i="7" s="1"/>
  <c r="J44" i="7" s="1"/>
  <c r="N44" i="7" s="1"/>
  <c r="F48" i="7"/>
  <c r="H48" i="7" s="1"/>
  <c r="I48" i="7" s="1"/>
  <c r="J48" i="7" s="1"/>
  <c r="N48" i="7" s="1"/>
  <c r="F47" i="7"/>
  <c r="H47" i="7" s="1"/>
  <c r="I47" i="7" s="1"/>
  <c r="J47" i="7" s="1"/>
  <c r="N47" i="7" s="1"/>
  <c r="F51" i="7"/>
  <c r="H51" i="7" s="1"/>
  <c r="I51" i="7" s="1"/>
  <c r="J51" i="7" s="1"/>
  <c r="N51" i="7" s="1"/>
  <c r="H28" i="7"/>
  <c r="I28" i="7" s="1"/>
  <c r="J28" i="7" s="1"/>
  <c r="N28" i="7" s="1"/>
  <c r="H27" i="7"/>
  <c r="I27" i="7" s="1"/>
  <c r="J27" i="7" s="1"/>
  <c r="N27" i="7" s="1"/>
  <c r="F30" i="7"/>
  <c r="H30" i="7" s="1"/>
  <c r="I30" i="7" s="1"/>
  <c r="J30" i="7" s="1"/>
  <c r="N30" i="7" s="1"/>
  <c r="F25" i="7"/>
  <c r="H25" i="7" s="1"/>
  <c r="I25" i="7" s="1"/>
  <c r="J25" i="7" s="1"/>
  <c r="N25" i="7" s="1"/>
  <c r="G26" i="7"/>
  <c r="H26" i="7" s="1"/>
  <c r="I26" i="7" s="1"/>
  <c r="J26" i="7" s="1"/>
  <c r="N26" i="7" s="1"/>
  <c r="F29" i="7"/>
  <c r="H29" i="7" s="1"/>
  <c r="I29" i="7" s="1"/>
  <c r="J29" i="7" s="1"/>
  <c r="N29" i="7" s="1"/>
  <c r="F33" i="7"/>
  <c r="H33" i="7" s="1"/>
  <c r="I33" i="7" s="1"/>
  <c r="J33" i="7" s="1"/>
  <c r="N33" i="7" s="1"/>
  <c r="G34" i="7"/>
  <c r="H34" i="7" s="1"/>
  <c r="I34" i="7" s="1"/>
  <c r="J34" i="7" s="1"/>
  <c r="N34" i="7" s="1"/>
  <c r="F41" i="5"/>
  <c r="I41" i="5" s="1"/>
  <c r="F42" i="5"/>
  <c r="I42" i="5" s="1"/>
  <c r="F43" i="5"/>
  <c r="J43" i="5" s="1"/>
  <c r="L43" i="5" s="1"/>
  <c r="F44" i="5"/>
  <c r="J44" i="5" s="1"/>
  <c r="L44" i="5" s="1"/>
  <c r="F45" i="5"/>
  <c r="F46" i="5"/>
  <c r="F47" i="5"/>
  <c r="J47" i="5" s="1"/>
  <c r="L47" i="5" s="1"/>
  <c r="F48" i="5"/>
  <c r="J48" i="5" s="1"/>
  <c r="L48" i="5" s="1"/>
  <c r="F49" i="5"/>
  <c r="I49" i="5" s="1"/>
  <c r="F50" i="5"/>
  <c r="F51" i="5"/>
  <c r="J51" i="5" s="1"/>
  <c r="L51" i="5" s="1"/>
  <c r="F40" i="5"/>
  <c r="J40" i="5" s="1"/>
  <c r="L40" i="5" s="1"/>
  <c r="J50" i="5"/>
  <c r="L50" i="5" s="1"/>
  <c r="I50" i="5"/>
  <c r="I46" i="5"/>
  <c r="J45" i="5"/>
  <c r="L45" i="5" s="1"/>
  <c r="F24" i="5"/>
  <c r="I24" i="5" s="1"/>
  <c r="F25" i="5"/>
  <c r="J25" i="5" s="1"/>
  <c r="L25" i="5" s="1"/>
  <c r="F26" i="5"/>
  <c r="F27" i="5"/>
  <c r="F28" i="5"/>
  <c r="I28" i="5" s="1"/>
  <c r="F29" i="5"/>
  <c r="J29" i="5" s="1"/>
  <c r="L29" i="5" s="1"/>
  <c r="F30" i="5"/>
  <c r="F31" i="5"/>
  <c r="J31" i="5" s="1"/>
  <c r="L31" i="5" s="1"/>
  <c r="F32" i="5"/>
  <c r="I32" i="5" s="1"/>
  <c r="F33" i="5"/>
  <c r="F34" i="5"/>
  <c r="F23" i="5"/>
  <c r="I23" i="5" s="1"/>
  <c r="J34" i="5"/>
  <c r="L34" i="5" s="1"/>
  <c r="J33" i="5"/>
  <c r="L33" i="5" s="1"/>
  <c r="J30" i="5"/>
  <c r="L30" i="5" s="1"/>
  <c r="I27" i="5"/>
  <c r="J26" i="5"/>
  <c r="L26" i="5" s="1"/>
  <c r="E9" i="4"/>
  <c r="F7" i="5"/>
  <c r="J7" i="5" s="1"/>
  <c r="F8" i="5"/>
  <c r="J8" i="5" s="1"/>
  <c r="L8" i="5" s="1"/>
  <c r="F9" i="5"/>
  <c r="J9" i="5" s="1"/>
  <c r="L9" i="5" s="1"/>
  <c r="F10" i="5"/>
  <c r="J10" i="5" s="1"/>
  <c r="L10" i="5" s="1"/>
  <c r="F11" i="5"/>
  <c r="J11" i="5" s="1"/>
  <c r="L11" i="5" s="1"/>
  <c r="F12" i="5"/>
  <c r="I12" i="5" s="1"/>
  <c r="F13" i="5"/>
  <c r="J13" i="5" s="1"/>
  <c r="L13" i="5" s="1"/>
  <c r="F14" i="5"/>
  <c r="J14" i="5" s="1"/>
  <c r="L14" i="5" s="1"/>
  <c r="F15" i="5"/>
  <c r="J15" i="5" s="1"/>
  <c r="L15" i="5" s="1"/>
  <c r="F16" i="5"/>
  <c r="J16" i="5" s="1"/>
  <c r="L16" i="5" s="1"/>
  <c r="F17" i="5"/>
  <c r="J17" i="5" s="1"/>
  <c r="L17" i="5" s="1"/>
  <c r="F6" i="5"/>
  <c r="J6" i="5" s="1"/>
  <c r="N6" i="5" s="1"/>
  <c r="L19" i="9" l="1"/>
  <c r="L21" i="9" s="1"/>
  <c r="L16" i="9"/>
  <c r="L17" i="9"/>
  <c r="F17" i="9"/>
  <c r="L28" i="9"/>
  <c r="L27" i="9"/>
  <c r="F28" i="9"/>
  <c r="L30" i="9"/>
  <c r="L32" i="9" s="1"/>
  <c r="J46" i="5"/>
  <c r="L46" i="5" s="1"/>
  <c r="J41" i="5"/>
  <c r="L41" i="5" s="1"/>
  <c r="N41" i="5" s="1"/>
  <c r="P41" i="5" s="1"/>
  <c r="Q41" i="5" s="1"/>
  <c r="J42" i="5"/>
  <c r="L42" i="5" s="1"/>
  <c r="N42" i="5" s="1"/>
  <c r="P42" i="5" s="1"/>
  <c r="Q42" i="5" s="1"/>
  <c r="I45" i="5"/>
  <c r="J49" i="5"/>
  <c r="L49" i="5" s="1"/>
  <c r="N49" i="5" s="1"/>
  <c r="N47" i="5"/>
  <c r="P47" i="5" s="1"/>
  <c r="Q47" i="5" s="1"/>
  <c r="M47" i="5"/>
  <c r="N43" i="5"/>
  <c r="M43" i="5"/>
  <c r="M45" i="5"/>
  <c r="N45" i="5"/>
  <c r="P45" i="5" s="1"/>
  <c r="Q45" i="5" s="1"/>
  <c r="M48" i="5"/>
  <c r="N48" i="5"/>
  <c r="P48" i="5" s="1"/>
  <c r="Q48" i="5" s="1"/>
  <c r="M49" i="5"/>
  <c r="M41" i="5"/>
  <c r="N44" i="5"/>
  <c r="P44" i="5" s="1"/>
  <c r="Q44" i="5" s="1"/>
  <c r="M44" i="5"/>
  <c r="N50" i="5"/>
  <c r="P50" i="5" s="1"/>
  <c r="Q50" i="5" s="1"/>
  <c r="M50" i="5"/>
  <c r="N40" i="5"/>
  <c r="M40" i="5"/>
  <c r="N46" i="5"/>
  <c r="M46" i="5"/>
  <c r="N51" i="5"/>
  <c r="P51" i="5" s="1"/>
  <c r="Q51" i="5" s="1"/>
  <c r="M51" i="5"/>
  <c r="I40" i="5"/>
  <c r="I44" i="5"/>
  <c r="I48" i="5"/>
  <c r="I43" i="5"/>
  <c r="I47" i="5"/>
  <c r="I51" i="5"/>
  <c r="J23" i="5"/>
  <c r="L23" i="5" s="1"/>
  <c r="M23" i="5" s="1"/>
  <c r="J12" i="5"/>
  <c r="L12" i="5" s="1"/>
  <c r="I8" i="5"/>
  <c r="I15" i="5"/>
  <c r="I11" i="5"/>
  <c r="I7" i="5"/>
  <c r="I6" i="5"/>
  <c r="I14" i="5"/>
  <c r="I10" i="5"/>
  <c r="I16" i="5"/>
  <c r="I17" i="5"/>
  <c r="I13" i="5"/>
  <c r="I9" i="5"/>
  <c r="I31" i="5"/>
  <c r="J27" i="5"/>
  <c r="L27" i="5" s="1"/>
  <c r="N27" i="5" s="1"/>
  <c r="P27" i="5" s="1"/>
  <c r="Q27" i="5" s="1"/>
  <c r="J32" i="5"/>
  <c r="L32" i="5" s="1"/>
  <c r="M32" i="5" s="1"/>
  <c r="J28" i="5"/>
  <c r="L28" i="5" s="1"/>
  <c r="M28" i="5" s="1"/>
  <c r="J24" i="5"/>
  <c r="L24" i="5" s="1"/>
  <c r="N25" i="5"/>
  <c r="P25" i="5" s="1"/>
  <c r="Q25" i="5" s="1"/>
  <c r="M25" i="5"/>
  <c r="N30" i="5"/>
  <c r="P30" i="5" s="1"/>
  <c r="Q30" i="5" s="1"/>
  <c r="M30" i="5"/>
  <c r="N26" i="5"/>
  <c r="M26" i="5"/>
  <c r="N33" i="5"/>
  <c r="P33" i="5" s="1"/>
  <c r="Q33" i="5" s="1"/>
  <c r="M33" i="5"/>
  <c r="N24" i="5"/>
  <c r="P24" i="5" s="1"/>
  <c r="Q24" i="5" s="1"/>
  <c r="M24" i="5"/>
  <c r="N29" i="5"/>
  <c r="M29" i="5"/>
  <c r="M31" i="5"/>
  <c r="N31" i="5"/>
  <c r="P31" i="5" s="1"/>
  <c r="Q31" i="5" s="1"/>
  <c r="N34" i="5"/>
  <c r="P34" i="5" s="1"/>
  <c r="Q34" i="5" s="1"/>
  <c r="M34" i="5"/>
  <c r="I26" i="5"/>
  <c r="I30" i="5"/>
  <c r="I34" i="5"/>
  <c r="I25" i="5"/>
  <c r="I29" i="5"/>
  <c r="I33" i="5"/>
  <c r="P6" i="5"/>
  <c r="Q6" i="5" s="1"/>
  <c r="M6" i="5"/>
  <c r="N17" i="5"/>
  <c r="P17" i="5" s="1"/>
  <c r="Q17" i="5" s="1"/>
  <c r="M17" i="5"/>
  <c r="N12" i="5"/>
  <c r="M12" i="5"/>
  <c r="N10" i="5"/>
  <c r="P10" i="5" s="1"/>
  <c r="Q10" i="5" s="1"/>
  <c r="M10" i="5"/>
  <c r="N16" i="5"/>
  <c r="P16" i="5" s="1"/>
  <c r="Q16" i="5" s="1"/>
  <c r="M16" i="5"/>
  <c r="N9" i="5"/>
  <c r="M9" i="5"/>
  <c r="N8" i="5"/>
  <c r="P8" i="5" s="1"/>
  <c r="Q8" i="5" s="1"/>
  <c r="M8" i="5"/>
  <c r="N14" i="5"/>
  <c r="P14" i="5" s="1"/>
  <c r="Q14" i="5" s="1"/>
  <c r="M14" i="5"/>
  <c r="N13" i="5"/>
  <c r="P13" i="5" s="1"/>
  <c r="Q13" i="5" s="1"/>
  <c r="M13" i="5"/>
  <c r="N15" i="5"/>
  <c r="M15" i="5"/>
  <c r="N11" i="5"/>
  <c r="P11" i="5" s="1"/>
  <c r="Q11" i="5" s="1"/>
  <c r="M11" i="5"/>
  <c r="N7" i="5"/>
  <c r="M7" i="5"/>
  <c r="P26" i="5" l="1"/>
  <c r="Q26" i="5" s="1"/>
  <c r="N23" i="5"/>
  <c r="M42" i="5"/>
  <c r="P29" i="5"/>
  <c r="Q29" i="5" s="1"/>
  <c r="D17" i="6"/>
  <c r="E17" i="6" s="1"/>
  <c r="F17" i="6" s="1"/>
  <c r="P46" i="5"/>
  <c r="Q46" i="5" s="1"/>
  <c r="D25" i="6"/>
  <c r="E25" i="6" s="1"/>
  <c r="F25" i="6" s="1"/>
  <c r="P49" i="5"/>
  <c r="Q49" i="5" s="1"/>
  <c r="D26" i="6"/>
  <c r="E26" i="6" s="1"/>
  <c r="F26" i="6" s="1"/>
  <c r="P7" i="5"/>
  <c r="Q7" i="5" s="1"/>
  <c r="D6" i="6"/>
  <c r="E6" i="6" s="1"/>
  <c r="P15" i="5"/>
  <c r="Q15" i="5" s="1"/>
  <c r="D9" i="9"/>
  <c r="E9" i="9" s="1"/>
  <c r="F9" i="9" s="1"/>
  <c r="D9" i="6"/>
  <c r="E9" i="6" s="1"/>
  <c r="F9" i="6" s="1"/>
  <c r="P9" i="5"/>
  <c r="Q9" i="5" s="1"/>
  <c r="D7" i="9"/>
  <c r="E7" i="9" s="1"/>
  <c r="F7" i="9" s="1"/>
  <c r="D7" i="6"/>
  <c r="E7" i="6" s="1"/>
  <c r="F7" i="6" s="1"/>
  <c r="P40" i="5"/>
  <c r="Q40" i="5" s="1"/>
  <c r="D23" i="6"/>
  <c r="E23" i="6" s="1"/>
  <c r="P12" i="5"/>
  <c r="Q12" i="5" s="1"/>
  <c r="D8" i="9"/>
  <c r="E8" i="9" s="1"/>
  <c r="F8" i="9" s="1"/>
  <c r="D8" i="6"/>
  <c r="E8" i="6" s="1"/>
  <c r="F8" i="6" s="1"/>
  <c r="P43" i="5"/>
  <c r="Q43" i="5" s="1"/>
  <c r="D24" i="6"/>
  <c r="E24" i="6" s="1"/>
  <c r="F24" i="6" s="1"/>
  <c r="D6" i="9"/>
  <c r="E6" i="9" s="1"/>
  <c r="M27" i="5"/>
  <c r="N32" i="5"/>
  <c r="N28" i="5"/>
  <c r="P28" i="5" s="1"/>
  <c r="Q28" i="5" s="1"/>
  <c r="F6" i="9" l="1"/>
  <c r="L8" i="9"/>
  <c r="L10" i="9" s="1"/>
  <c r="L5" i="9"/>
  <c r="L7" i="9"/>
  <c r="P32" i="5"/>
  <c r="Q32" i="5" s="1"/>
  <c r="D18" i="6"/>
  <c r="E18" i="6" s="1"/>
  <c r="F18" i="6" s="1"/>
  <c r="K24" i="6"/>
  <c r="K22" i="6"/>
  <c r="L29" i="9" s="1"/>
  <c r="K26" i="6"/>
  <c r="F23" i="6"/>
  <c r="K9" i="6"/>
  <c r="F6" i="6"/>
  <c r="K7" i="6"/>
  <c r="K5" i="6"/>
  <c r="D16" i="6"/>
  <c r="E16" i="6" s="1"/>
  <c r="F16" i="6" s="1"/>
  <c r="P23" i="5"/>
  <c r="Q23" i="5" s="1"/>
  <c r="D15" i="6"/>
  <c r="E15" i="6" s="1"/>
  <c r="E8" i="4"/>
  <c r="E8" i="3"/>
  <c r="E9" i="3"/>
  <c r="E7" i="3"/>
  <c r="E7" i="2"/>
  <c r="E8" i="2"/>
  <c r="E9" i="2"/>
  <c r="E10" i="2"/>
  <c r="E6" i="2"/>
  <c r="E5" i="2"/>
  <c r="D10" i="2"/>
  <c r="K8" i="6" l="1"/>
  <c r="K6" i="6"/>
  <c r="K25" i="6"/>
  <c r="K23" i="6"/>
  <c r="K18" i="6"/>
  <c r="F15" i="6"/>
  <c r="K14" i="6"/>
  <c r="L18" i="9" s="1"/>
  <c r="K16" i="6"/>
  <c r="K17" i="6" l="1"/>
  <c r="K15" i="6"/>
</calcChain>
</file>

<file path=xl/sharedStrings.xml><?xml version="1.0" encoding="utf-8"?>
<sst xmlns="http://schemas.openxmlformats.org/spreadsheetml/2006/main" count="418" uniqueCount="116">
  <si>
    <t>Component</t>
  </si>
  <si>
    <t>₹ / Unit</t>
  </si>
  <si>
    <t>Imported raw material</t>
  </si>
  <si>
    <t>Domestic raw material</t>
  </si>
  <si>
    <t>Total Direct Materials</t>
  </si>
  <si>
    <t>Direct Materials</t>
  </si>
  <si>
    <t>Direct Labour</t>
  </si>
  <si>
    <t>Production labour</t>
  </si>
  <si>
    <t>Manufacturing Overheads</t>
  </si>
  <si>
    <t>Power &amp; fuel</t>
  </si>
  <si>
    <t>Repairs &amp; maintenance</t>
  </si>
  <si>
    <t>Consumables</t>
  </si>
  <si>
    <t>Factory supervision</t>
  </si>
  <si>
    <t>Total Manufacturing OH</t>
  </si>
  <si>
    <t>Administrative Overheads</t>
  </si>
  <si>
    <t>Admin salaries &amp; office costs</t>
  </si>
  <si>
    <t>Selling &amp; Distribution Overheads (Semi-variable)</t>
  </si>
  <si>
    <t>S&amp;D OH</t>
  </si>
  <si>
    <r>
      <t>Annual production:</t>
    </r>
    <r>
      <rPr>
        <sz val="11"/>
        <color theme="1"/>
        <rFont val="Calibri"/>
        <family val="2"/>
        <scheme val="minor"/>
      </rPr>
      <t xml:space="preserve"> 100,000 units</t>
    </r>
  </si>
  <si>
    <r>
      <t>Monthly production:</t>
    </r>
    <r>
      <rPr>
        <sz val="11"/>
        <color theme="1"/>
        <rFont val="Calibri"/>
        <family val="2"/>
        <scheme val="minor"/>
      </rPr>
      <t xml:space="preserve"> 8,333 units</t>
    </r>
  </si>
  <si>
    <r>
      <t>Base USD–INR:</t>
    </r>
    <r>
      <rPr>
        <sz val="11"/>
        <color theme="1"/>
        <rFont val="Calibri"/>
        <family val="2"/>
        <scheme val="minor"/>
      </rPr>
      <t xml:space="preserve"> ₹83/USD</t>
    </r>
  </si>
  <si>
    <r>
      <t>Purpose:</t>
    </r>
    <r>
      <rPr>
        <sz val="11"/>
        <color theme="1"/>
        <rFont val="Calibri"/>
        <family val="2"/>
        <scheme val="minor"/>
      </rPr>
      <t xml:space="preserve"> Standard (normal) cost under stable conditions</t>
    </r>
  </si>
  <si>
    <t xml:space="preserve">Assumptions </t>
  </si>
  <si>
    <t>Cost Head</t>
  </si>
  <si>
    <t>Manufacturing OH</t>
  </si>
  <si>
    <t>Administrative OH</t>
  </si>
  <si>
    <t>Selling &amp; Distribution OH</t>
  </si>
  <si>
    <t>TOTAL MONTHLY COST</t>
  </si>
  <si>
    <t>per unit</t>
  </si>
  <si>
    <t>Monthly Cost</t>
  </si>
  <si>
    <t>Particulars</t>
  </si>
  <si>
    <t>Selling Price</t>
  </si>
  <si>
    <t>Total Cost</t>
  </si>
  <si>
    <t>Operating Profit</t>
  </si>
  <si>
    <t>Operating Margin</t>
  </si>
  <si>
    <t>Per Month</t>
  </si>
  <si>
    <t>Base per unit cost of imported Materials (in USD)</t>
  </si>
  <si>
    <t>Base Exchange Rate</t>
  </si>
  <si>
    <t>Import cost Base</t>
  </si>
  <si>
    <t>USD Cost Per Unit</t>
  </si>
  <si>
    <t>Date</t>
  </si>
  <si>
    <t>Forecast(USD_INR)</t>
  </si>
  <si>
    <t>Jan-2026</t>
  </si>
  <si>
    <t>Feb-2026</t>
  </si>
  <si>
    <t>Mar-2026</t>
  </si>
  <si>
    <t>Apr-2026</t>
  </si>
  <si>
    <t>May-2026</t>
  </si>
  <si>
    <t>Jun-2026</t>
  </si>
  <si>
    <t>Jul-2026</t>
  </si>
  <si>
    <t>Aug-2026</t>
  </si>
  <si>
    <t>Sep-2026</t>
  </si>
  <si>
    <t>Oct-2026</t>
  </si>
  <si>
    <t>Nov-2026</t>
  </si>
  <si>
    <t>Dec-2026</t>
  </si>
  <si>
    <t>Base USD Cost Of Import</t>
  </si>
  <si>
    <t>Cost Of Import (In Rupees)</t>
  </si>
  <si>
    <t>monthly cost</t>
  </si>
  <si>
    <t>Base Import Cost</t>
  </si>
  <si>
    <t xml:space="preserve">Total Cost </t>
  </si>
  <si>
    <t>Proft</t>
  </si>
  <si>
    <t>Monthly Profit</t>
  </si>
  <si>
    <t>Base Profit</t>
  </si>
  <si>
    <t>Changes in Per unit cost</t>
  </si>
  <si>
    <t>Profit Margin</t>
  </si>
  <si>
    <t>Base monthly Profit</t>
  </si>
  <si>
    <t>Exchange Rate to Profit Favourable</t>
  </si>
  <si>
    <t>Exchange Rate to Profit Base</t>
  </si>
  <si>
    <t>Exchange Rate to Profit Adverse</t>
  </si>
  <si>
    <t>Quarters</t>
  </si>
  <si>
    <t>Actual Profit</t>
  </si>
  <si>
    <t>Cost Sheet (monthly)</t>
  </si>
  <si>
    <t>Hedging @ 50%</t>
  </si>
  <si>
    <t>Hedged @ 88 INR</t>
  </si>
  <si>
    <t>Total Import Cost</t>
  </si>
  <si>
    <t>Hedging Impact</t>
  </si>
  <si>
    <t>Hedge Impact</t>
  </si>
  <si>
    <t>hedged Profit</t>
  </si>
  <si>
    <t>UnHedged Profit</t>
  </si>
  <si>
    <t>Hedged Monthly Profit</t>
  </si>
  <si>
    <t>UnHedged Monthly Profit</t>
  </si>
  <si>
    <t>Monthly Hedging Impact</t>
  </si>
  <si>
    <t>Unhedges Profit Margin</t>
  </si>
  <si>
    <t>Unhedged Profit</t>
  </si>
  <si>
    <t>Hedged Profit Margin</t>
  </si>
  <si>
    <t>Unhedged Cost (50%)</t>
  </si>
  <si>
    <t>Monthly Hedging Impact @ Favourable Exchange Rate</t>
  </si>
  <si>
    <t>Monthly Hedging Impact @ Adverse Exchange Rate</t>
  </si>
  <si>
    <t>Monthly Hedging Impact @ Base Exchange Rate</t>
  </si>
  <si>
    <t>Per Unit Hedging Impact @ Base Exchange Rate</t>
  </si>
  <si>
    <t>Per Unit Hedging Impact @ Favourable Exchange Rate</t>
  </si>
  <si>
    <t>Per Unit Hedging Impact @ Adverse Exchange Rate</t>
  </si>
  <si>
    <t>FX Impact</t>
  </si>
  <si>
    <t>Income Statement (Monthly)</t>
  </si>
  <si>
    <t>*Base FX Rate @ ₹87</t>
  </si>
  <si>
    <t>FX Impact %</t>
  </si>
  <si>
    <t>Hedging Imapct %</t>
  </si>
  <si>
    <t>Worst Quarter Loss in ₹</t>
  </si>
  <si>
    <t>Worst Quarter Loss in %</t>
  </si>
  <si>
    <t>Average FX Impact in ₹</t>
  </si>
  <si>
    <t>Average FX Impact in %</t>
  </si>
  <si>
    <t>Worst Quarter Protection in ₹</t>
  </si>
  <si>
    <t>% of FX Loss Recovered By Hedging</t>
  </si>
  <si>
    <t>Net annual Hedging Benefit</t>
  </si>
  <si>
    <t>Volatility Under FX</t>
  </si>
  <si>
    <t>Volatility Under Hedging</t>
  </si>
  <si>
    <t>Volatility Reduction %</t>
  </si>
  <si>
    <t>S</t>
  </si>
  <si>
    <t>Monthly Import cost</t>
  </si>
  <si>
    <t>Total Monthly Cost</t>
  </si>
  <si>
    <t>Scenarios</t>
  </si>
  <si>
    <t>Base</t>
  </si>
  <si>
    <t>Favourable</t>
  </si>
  <si>
    <t>Adverse</t>
  </si>
  <si>
    <t>Hedging impact</t>
  </si>
  <si>
    <t>Hedged Profit</t>
  </si>
  <si>
    <t>Worst Period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</si>
</sst>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0.0"/>
    <numFmt numFmtId="165" formatCode="_ * #,##0_ ;_ * \-#,##0_ ;_ * &quot;-&quot;??_ ;_ @_ "/>
    <numFmt numFmtId="166" formatCode="0.000"/>
    <numFmt numFmtId="167" formatCode="[$-F800]dddd\,\ mmmm\ dd\,\ yyyy"/>
    <numFmt numFmtId="168" formatCode="0.0%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name val="Arial"/>
      <family val="2"/>
    </font>
    <font>
      <b/>
      <sz val="9"/>
      <color theme="1"/>
      <name val="Arial"/>
      <family val="2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theme="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4">
    <xf numFmtId="0" fontId="0" fillId="0" borderId="0" xfId="0"/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/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65" fontId="0" fillId="0" borderId="1" xfId="1" applyNumberFormat="1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right" vertical="center" wrapText="1"/>
    </xf>
    <xf numFmtId="3" fontId="2" fillId="0" borderId="1" xfId="0" applyNumberFormat="1" applyFont="1" applyBorder="1" applyAlignment="1">
      <alignment horizontal="right" vertical="center" wrapText="1"/>
    </xf>
    <xf numFmtId="9" fontId="2" fillId="0" borderId="1" xfId="0" applyNumberFormat="1" applyFont="1" applyBorder="1" applyAlignment="1">
      <alignment horizontal="right" vertical="center" wrapText="1"/>
    </xf>
    <xf numFmtId="166" fontId="0" fillId="0" borderId="0" xfId="0" applyNumberFormat="1"/>
    <xf numFmtId="0" fontId="5" fillId="3" borderId="1" xfId="0" applyFont="1" applyFill="1" applyBorder="1"/>
    <xf numFmtId="167" fontId="6" fillId="4" borderId="1" xfId="0" applyNumberFormat="1" applyFont="1" applyFill="1" applyBorder="1" applyAlignment="1">
      <alignment horizontal="left" vertical="center"/>
    </xf>
    <xf numFmtId="2" fontId="7" fillId="5" borderId="1" xfId="0" applyNumberFormat="1" applyFont="1" applyFill="1" applyBorder="1"/>
    <xf numFmtId="2" fontId="7" fillId="6" borderId="1" xfId="0" applyNumberFormat="1" applyFont="1" applyFill="1" applyBorder="1"/>
    <xf numFmtId="0" fontId="0" fillId="0" borderId="1" xfId="0" applyBorder="1"/>
    <xf numFmtId="166" fontId="0" fillId="0" borderId="1" xfId="0" applyNumberFormat="1" applyBorder="1"/>
    <xf numFmtId="1" fontId="0" fillId="0" borderId="1" xfId="0" applyNumberFormat="1" applyBorder="1"/>
    <xf numFmtId="164" fontId="0" fillId="0" borderId="1" xfId="0" applyNumberFormat="1" applyBorder="1"/>
    <xf numFmtId="0" fontId="2" fillId="0" borderId="1" xfId="0" applyFont="1" applyBorder="1"/>
    <xf numFmtId="0" fontId="0" fillId="0" borderId="1" xfId="0" applyFont="1" applyBorder="1" applyAlignment="1">
      <alignment vertical="center" wrapText="1"/>
    </xf>
    <xf numFmtId="165" fontId="0" fillId="0" borderId="1" xfId="1" applyNumberFormat="1" applyFont="1" applyBorder="1"/>
    <xf numFmtId="0" fontId="0" fillId="0" borderId="0" xfId="0"/>
    <xf numFmtId="0" fontId="0" fillId="0" borderId="1" xfId="0" applyFill="1" applyBorder="1"/>
    <xf numFmtId="2" fontId="0" fillId="0" borderId="1" xfId="0" applyNumberFormat="1" applyBorder="1"/>
    <xf numFmtId="0" fontId="2" fillId="5" borderId="0" xfId="0" applyFont="1" applyFill="1" applyBorder="1" applyAlignment="1">
      <alignment horizontal="center"/>
    </xf>
    <xf numFmtId="0" fontId="0" fillId="0" borderId="0" xfId="0"/>
    <xf numFmtId="0" fontId="0" fillId="0" borderId="0" xfId="0"/>
    <xf numFmtId="0" fontId="2" fillId="0" borderId="1" xfId="0" applyFont="1" applyFill="1" applyBorder="1"/>
    <xf numFmtId="168" fontId="0" fillId="0" borderId="1" xfId="2" applyNumberFormat="1" applyFont="1" applyBorder="1"/>
    <xf numFmtId="1" fontId="0" fillId="0" borderId="0" xfId="0" applyNumberFormat="1"/>
    <xf numFmtId="168" fontId="0" fillId="0" borderId="1" xfId="0" applyNumberFormat="1" applyBorder="1"/>
    <xf numFmtId="0" fontId="0" fillId="0" borderId="0" xfId="0" applyBorder="1"/>
    <xf numFmtId="168" fontId="0" fillId="0" borderId="0" xfId="2" applyNumberFormat="1" applyFont="1" applyBorder="1"/>
    <xf numFmtId="0" fontId="0" fillId="0" borderId="0" xfId="0"/>
    <xf numFmtId="165" fontId="0" fillId="0" borderId="0" xfId="1" applyNumberFormat="1" applyFont="1"/>
    <xf numFmtId="0" fontId="0" fillId="0" borderId="1" xfId="0" applyBorder="1"/>
    <xf numFmtId="0" fontId="2" fillId="2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/>
    <xf numFmtId="0" fontId="0" fillId="0" borderId="0" xfId="0"/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0" fillId="0" borderId="5" xfId="0" applyBorder="1"/>
    <xf numFmtId="0" fontId="0" fillId="0" borderId="1" xfId="0" applyBorder="1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</cellXfs>
  <cellStyles count="3">
    <cellStyle name="Comma" xfId="1" builtinId="3"/>
    <cellStyle name="Normal" xfId="0" builtinId="0"/>
    <cellStyle name="Percent" xfId="2" builtinId="5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EC5800"/>
      <color rgb="FFFFEA81"/>
      <color rgb="FF009B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43936-B935-4083-B46F-F9E1A5092D94}">
  <dimension ref="B3:J36"/>
  <sheetViews>
    <sheetView workbookViewId="0">
      <selection activeCell="J12" sqref="J12"/>
    </sheetView>
  </sheetViews>
  <sheetFormatPr defaultRowHeight="15" x14ac:dyDescent="0.25"/>
  <cols>
    <col min="2" max="2" width="28.140625" customWidth="1"/>
    <col min="3" max="3" width="7.7109375" bestFit="1" customWidth="1"/>
    <col min="4" max="4" width="9" bestFit="1" customWidth="1"/>
  </cols>
  <sheetData>
    <row r="3" spans="2:10" ht="18.75" x14ac:dyDescent="0.3">
      <c r="B3" s="1" t="s">
        <v>5</v>
      </c>
      <c r="H3" s="40" t="s">
        <v>22</v>
      </c>
      <c r="I3" s="40"/>
      <c r="J3" s="40"/>
    </row>
    <row r="5" spans="2:10" x14ac:dyDescent="0.25">
      <c r="B5" s="5" t="s">
        <v>0</v>
      </c>
      <c r="C5" s="5" t="s">
        <v>1</v>
      </c>
      <c r="H5" s="4" t="s">
        <v>18</v>
      </c>
    </row>
    <row r="6" spans="2:10" x14ac:dyDescent="0.25">
      <c r="B6" s="6" t="s">
        <v>2</v>
      </c>
      <c r="C6" s="8">
        <v>300</v>
      </c>
      <c r="H6" s="4" t="s">
        <v>19</v>
      </c>
    </row>
    <row r="7" spans="2:10" x14ac:dyDescent="0.25">
      <c r="B7" s="6" t="s">
        <v>3</v>
      </c>
      <c r="C7" s="8">
        <v>200</v>
      </c>
      <c r="H7" s="4" t="s">
        <v>20</v>
      </c>
    </row>
    <row r="8" spans="2:10" x14ac:dyDescent="0.25">
      <c r="B8" s="8" t="s">
        <v>4</v>
      </c>
      <c r="C8" s="8">
        <v>500</v>
      </c>
      <c r="D8" s="3"/>
      <c r="H8" s="4" t="s">
        <v>21</v>
      </c>
    </row>
    <row r="11" spans="2:10" ht="18" x14ac:dyDescent="0.25">
      <c r="B11" s="1" t="s">
        <v>6</v>
      </c>
    </row>
    <row r="13" spans="2:10" x14ac:dyDescent="0.25">
      <c r="B13" s="5" t="s">
        <v>0</v>
      </c>
      <c r="C13" s="5" t="s">
        <v>1</v>
      </c>
      <c r="D13" s="2"/>
    </row>
    <row r="14" spans="2:10" x14ac:dyDescent="0.25">
      <c r="B14" s="6" t="s">
        <v>7</v>
      </c>
      <c r="C14" s="8">
        <v>80</v>
      </c>
    </row>
    <row r="17" spans="2:4" ht="18" x14ac:dyDescent="0.25">
      <c r="B17" s="1" t="s">
        <v>8</v>
      </c>
    </row>
    <row r="19" spans="2:4" x14ac:dyDescent="0.25">
      <c r="B19" s="5" t="s">
        <v>0</v>
      </c>
      <c r="C19" s="5" t="s">
        <v>1</v>
      </c>
      <c r="D19" s="2"/>
    </row>
    <row r="20" spans="2:4" x14ac:dyDescent="0.25">
      <c r="B20" s="6" t="s">
        <v>9</v>
      </c>
      <c r="C20" s="6">
        <v>45</v>
      </c>
      <c r="D20" s="3"/>
    </row>
    <row r="21" spans="2:4" x14ac:dyDescent="0.25">
      <c r="B21" s="6" t="s">
        <v>10</v>
      </c>
      <c r="C21" s="6">
        <v>35</v>
      </c>
      <c r="D21" s="3"/>
    </row>
    <row r="22" spans="2:4" x14ac:dyDescent="0.25">
      <c r="B22" s="6" t="s">
        <v>11</v>
      </c>
      <c r="C22" s="6">
        <v>30</v>
      </c>
      <c r="D22" s="3"/>
    </row>
    <row r="23" spans="2:4" x14ac:dyDescent="0.25">
      <c r="B23" s="6" t="s">
        <v>12</v>
      </c>
      <c r="C23" s="6">
        <v>40</v>
      </c>
      <c r="D23" s="3"/>
    </row>
    <row r="24" spans="2:4" x14ac:dyDescent="0.25">
      <c r="B24" s="8" t="s">
        <v>13</v>
      </c>
      <c r="C24" s="8">
        <v>150</v>
      </c>
    </row>
    <row r="27" spans="2:4" ht="18" x14ac:dyDescent="0.25">
      <c r="B27" s="1" t="s">
        <v>14</v>
      </c>
    </row>
    <row r="29" spans="2:4" x14ac:dyDescent="0.25">
      <c r="B29" s="5" t="s">
        <v>0</v>
      </c>
      <c r="C29" s="5" t="s">
        <v>1</v>
      </c>
      <c r="D29" s="2"/>
    </row>
    <row r="30" spans="2:4" x14ac:dyDescent="0.25">
      <c r="B30" s="6" t="s">
        <v>15</v>
      </c>
      <c r="C30" s="8">
        <v>70</v>
      </c>
    </row>
    <row r="33" spans="2:3" ht="18" x14ac:dyDescent="0.25">
      <c r="B33" s="1" t="s">
        <v>16</v>
      </c>
    </row>
    <row r="35" spans="2:3" x14ac:dyDescent="0.25">
      <c r="B35" s="5" t="s">
        <v>0</v>
      </c>
      <c r="C35" s="5" t="s">
        <v>1</v>
      </c>
    </row>
    <row r="36" spans="2:3" x14ac:dyDescent="0.25">
      <c r="B36" s="22" t="s">
        <v>17</v>
      </c>
      <c r="C36" s="22">
        <v>100</v>
      </c>
    </row>
  </sheetData>
  <mergeCells count="1">
    <mergeCell ref="H3:J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F6358-3831-4E3F-917F-162D3695E25E}">
  <dimension ref="C3:G9"/>
  <sheetViews>
    <sheetView workbookViewId="0">
      <selection activeCell="E10" sqref="E10"/>
    </sheetView>
  </sheetViews>
  <sheetFormatPr defaultRowHeight="15" x14ac:dyDescent="0.25"/>
  <sheetData>
    <row r="3" spans="3:7" x14ac:dyDescent="0.25">
      <c r="C3" s="41" t="s">
        <v>36</v>
      </c>
      <c r="D3" s="41"/>
      <c r="E3" s="41"/>
      <c r="F3" s="41"/>
      <c r="G3" s="41"/>
    </row>
    <row r="5" spans="3:7" x14ac:dyDescent="0.25">
      <c r="C5" s="42" t="s">
        <v>37</v>
      </c>
      <c r="D5" s="42"/>
      <c r="E5">
        <v>87</v>
      </c>
    </row>
    <row r="6" spans="3:7" x14ac:dyDescent="0.25">
      <c r="C6" s="43" t="s">
        <v>38</v>
      </c>
      <c r="D6" s="43"/>
      <c r="E6">
        <v>300</v>
      </c>
    </row>
    <row r="8" spans="3:7" x14ac:dyDescent="0.25">
      <c r="C8" s="44" t="s">
        <v>39</v>
      </c>
      <c r="D8" s="44"/>
      <c r="E8" s="12">
        <f>E6/E5</f>
        <v>3.4482758620689653</v>
      </c>
    </row>
    <row r="9" spans="3:7" x14ac:dyDescent="0.25">
      <c r="C9" s="44" t="s">
        <v>56</v>
      </c>
      <c r="D9" s="44"/>
      <c r="E9">
        <f>E6*100000/12</f>
        <v>2500000</v>
      </c>
    </row>
  </sheetData>
  <mergeCells count="5">
    <mergeCell ref="C3:G3"/>
    <mergeCell ref="C5:D5"/>
    <mergeCell ref="C6:D6"/>
    <mergeCell ref="C8:D8"/>
    <mergeCell ref="C9:D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49B38-6924-48A8-ADD8-EC2FBE8B8EED}">
  <dimension ref="C2:G10"/>
  <sheetViews>
    <sheetView workbookViewId="0">
      <selection activeCell="G12" sqref="G12"/>
    </sheetView>
  </sheetViews>
  <sheetFormatPr defaultRowHeight="15" x14ac:dyDescent="0.25"/>
  <cols>
    <col min="3" max="5" width="25.85546875" customWidth="1"/>
    <col min="6" max="6" width="19.42578125" customWidth="1"/>
    <col min="8" max="8" width="14.28515625" bestFit="1" customWidth="1"/>
  </cols>
  <sheetData>
    <row r="2" spans="3:7" ht="18.75" x14ac:dyDescent="0.3">
      <c r="C2" s="40" t="s">
        <v>70</v>
      </c>
      <c r="D2" s="40"/>
    </row>
    <row r="4" spans="3:7" x14ac:dyDescent="0.25">
      <c r="C4" s="5" t="s">
        <v>23</v>
      </c>
      <c r="D4" s="5" t="s">
        <v>28</v>
      </c>
      <c r="E4" s="5" t="s">
        <v>29</v>
      </c>
    </row>
    <row r="5" spans="3:7" x14ac:dyDescent="0.25">
      <c r="C5" s="6" t="s">
        <v>5</v>
      </c>
      <c r="D5" s="6">
        <v>500</v>
      </c>
      <c r="E5" s="7">
        <f>D5*100000/12</f>
        <v>4166666.6666666665</v>
      </c>
      <c r="G5" s="37"/>
    </row>
    <row r="6" spans="3:7" x14ac:dyDescent="0.25">
      <c r="C6" s="6" t="s">
        <v>6</v>
      </c>
      <c r="D6" s="6">
        <v>80</v>
      </c>
      <c r="E6" s="7">
        <f>D6*100000/12</f>
        <v>666666.66666666663</v>
      </c>
    </row>
    <row r="7" spans="3:7" x14ac:dyDescent="0.25">
      <c r="C7" s="6" t="s">
        <v>24</v>
      </c>
      <c r="D7" s="6">
        <v>150</v>
      </c>
      <c r="E7" s="7">
        <f t="shared" ref="E7:E10" si="0">D7*100000/12</f>
        <v>1250000</v>
      </c>
    </row>
    <row r="8" spans="3:7" x14ac:dyDescent="0.25">
      <c r="C8" s="6" t="s">
        <v>25</v>
      </c>
      <c r="D8" s="6">
        <v>70</v>
      </c>
      <c r="E8" s="7">
        <f t="shared" si="0"/>
        <v>583333.33333333337</v>
      </c>
    </row>
    <row r="9" spans="3:7" x14ac:dyDescent="0.25">
      <c r="C9" s="6" t="s">
        <v>26</v>
      </c>
      <c r="D9" s="6">
        <v>100</v>
      </c>
      <c r="E9" s="7">
        <f t="shared" si="0"/>
        <v>833333.33333333337</v>
      </c>
    </row>
    <row r="10" spans="3:7" x14ac:dyDescent="0.25">
      <c r="C10" s="8" t="s">
        <v>27</v>
      </c>
      <c r="D10" s="8">
        <f>SUM(D5:D9)</f>
        <v>900</v>
      </c>
      <c r="E10" s="7">
        <f t="shared" si="0"/>
        <v>7500000</v>
      </c>
    </row>
  </sheetData>
  <mergeCells count="1">
    <mergeCell ref="C2:D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23660-AD4F-4F3C-9298-FB16A62396E2}">
  <dimension ref="C3:F13"/>
  <sheetViews>
    <sheetView workbookViewId="0">
      <selection activeCell="C14" sqref="C14"/>
    </sheetView>
  </sheetViews>
  <sheetFormatPr defaultRowHeight="15" x14ac:dyDescent="0.25"/>
  <cols>
    <col min="3" max="3" width="21.28515625" customWidth="1"/>
    <col min="5" max="5" width="12.5703125" bestFit="1" customWidth="1"/>
  </cols>
  <sheetData>
    <row r="3" spans="3:6" x14ac:dyDescent="0.25">
      <c r="C3" s="41" t="s">
        <v>92</v>
      </c>
      <c r="D3" s="41"/>
      <c r="E3" s="41"/>
      <c r="F3" s="41"/>
    </row>
    <row r="6" spans="3:6" x14ac:dyDescent="0.25">
      <c r="C6" s="5" t="s">
        <v>30</v>
      </c>
      <c r="D6" s="9" t="s">
        <v>1</v>
      </c>
      <c r="E6" s="21" t="s">
        <v>35</v>
      </c>
    </row>
    <row r="7" spans="3:6" x14ac:dyDescent="0.25">
      <c r="C7" s="6" t="s">
        <v>31</v>
      </c>
      <c r="D7" s="10">
        <v>1000</v>
      </c>
      <c r="E7" s="23">
        <f>D7*100000/12</f>
        <v>8333333.333333333</v>
      </c>
    </row>
    <row r="8" spans="3:6" x14ac:dyDescent="0.25">
      <c r="C8" s="6" t="s">
        <v>32</v>
      </c>
      <c r="D8" s="9">
        <v>900</v>
      </c>
      <c r="E8" s="23">
        <f t="shared" ref="E8:E9" si="0">D8*100000/12</f>
        <v>7500000</v>
      </c>
    </row>
    <row r="9" spans="3:6" x14ac:dyDescent="0.25">
      <c r="C9" s="8" t="s">
        <v>33</v>
      </c>
      <c r="D9" s="9">
        <v>100</v>
      </c>
      <c r="E9" s="23">
        <f t="shared" si="0"/>
        <v>833333.33333333337</v>
      </c>
    </row>
    <row r="10" spans="3:6" x14ac:dyDescent="0.25">
      <c r="C10" s="8" t="s">
        <v>34</v>
      </c>
      <c r="D10" s="11">
        <v>0.1</v>
      </c>
      <c r="E10" s="17"/>
    </row>
    <row r="13" spans="3:6" x14ac:dyDescent="0.25">
      <c r="C13" t="s">
        <v>93</v>
      </c>
    </row>
  </sheetData>
  <mergeCells count="1">
    <mergeCell ref="C3:F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B1425-5814-4C46-A726-E49B1601D253}">
  <sheetPr>
    <pageSetUpPr fitToPage="1"/>
  </sheetPr>
  <dimension ref="C3:U55"/>
  <sheetViews>
    <sheetView topLeftCell="D28" zoomScale="85" zoomScaleNormal="85" workbookViewId="0">
      <selection activeCell="K31" sqref="K31"/>
    </sheetView>
  </sheetViews>
  <sheetFormatPr defaultRowHeight="15" x14ac:dyDescent="0.25"/>
  <cols>
    <col min="3" max="3" width="8.85546875" bestFit="1" customWidth="1"/>
    <col min="4" max="4" width="18.140625" bestFit="1" customWidth="1"/>
    <col min="5" max="5" width="23.140625" customWidth="1"/>
    <col min="6" max="6" width="24.28515625" customWidth="1"/>
    <col min="7" max="7" width="24.28515625" style="36" customWidth="1"/>
    <col min="8" max="8" width="15.5703125" customWidth="1"/>
    <col min="9" max="9" width="17.5703125" customWidth="1"/>
    <col min="10" max="10" width="15.5703125" customWidth="1"/>
    <col min="11" max="11" width="15.5703125" style="36" customWidth="1"/>
    <col min="12" max="12" width="7.85546875" customWidth="1"/>
    <col min="13" max="13" width="9" customWidth="1"/>
    <col min="14" max="14" width="14" bestFit="1" customWidth="1"/>
    <col min="15" max="15" width="10.5703125" bestFit="1" customWidth="1"/>
    <col min="16" max="16" width="8.140625" bestFit="1" customWidth="1"/>
  </cols>
  <sheetData>
    <row r="3" spans="3:21" x14ac:dyDescent="0.25">
      <c r="D3" s="41" t="s">
        <v>66</v>
      </c>
      <c r="E3" s="41"/>
      <c r="F3" s="41"/>
      <c r="G3" s="39"/>
      <c r="H3" s="36"/>
      <c r="L3" s="36"/>
    </row>
    <row r="5" spans="3:21" x14ac:dyDescent="0.25">
      <c r="C5" s="13" t="s">
        <v>40</v>
      </c>
      <c r="D5" s="13" t="s">
        <v>41</v>
      </c>
      <c r="E5" s="21" t="s">
        <v>54</v>
      </c>
      <c r="F5" s="21" t="s">
        <v>55</v>
      </c>
      <c r="G5" s="21" t="s">
        <v>107</v>
      </c>
      <c r="H5" s="21" t="s">
        <v>57</v>
      </c>
      <c r="I5" s="21" t="s">
        <v>62</v>
      </c>
      <c r="J5" s="21" t="s">
        <v>58</v>
      </c>
      <c r="K5" s="21" t="s">
        <v>108</v>
      </c>
      <c r="L5" s="21" t="s">
        <v>59</v>
      </c>
      <c r="M5" s="21" t="s">
        <v>63</v>
      </c>
      <c r="N5" s="21" t="s">
        <v>60</v>
      </c>
      <c r="O5" s="21" t="s">
        <v>64</v>
      </c>
      <c r="P5" s="21" t="s">
        <v>91</v>
      </c>
      <c r="Q5" s="30" t="s">
        <v>94</v>
      </c>
      <c r="U5" s="4"/>
    </row>
    <row r="6" spans="3:21" x14ac:dyDescent="0.25">
      <c r="C6" s="14" t="s">
        <v>42</v>
      </c>
      <c r="D6" s="16">
        <v>93.72823434312788</v>
      </c>
      <c r="E6" s="18">
        <v>3.4482758620689653</v>
      </c>
      <c r="F6" s="19">
        <f>D6*E6</f>
        <v>323.20080807975131</v>
      </c>
      <c r="G6" s="19">
        <f>F6*100000/12</f>
        <v>2693340.067331261</v>
      </c>
      <c r="H6" s="19">
        <v>300</v>
      </c>
      <c r="I6" s="19">
        <f>F6-H6</f>
        <v>23.200808079751312</v>
      </c>
      <c r="J6" s="19">
        <f>600+F6</f>
        <v>923.20080807975137</v>
      </c>
      <c r="K6" s="19">
        <f>J6*100000/12</f>
        <v>7693340.0673312619</v>
      </c>
      <c r="L6" s="19">
        <f>1000-J6</f>
        <v>76.799191920248632</v>
      </c>
      <c r="M6" s="20">
        <f>L6/J6*100</f>
        <v>8.3187960027884067</v>
      </c>
      <c r="N6" s="19">
        <f>(L6*100000)/12</f>
        <v>639993.2660020719</v>
      </c>
      <c r="O6" s="17">
        <v>833333.33333333337</v>
      </c>
      <c r="P6" s="17">
        <f>N6-O6</f>
        <v>-193340.06733126147</v>
      </c>
      <c r="Q6">
        <f>P6/O6*100</f>
        <v>-23.200808079751376</v>
      </c>
    </row>
    <row r="7" spans="3:21" x14ac:dyDescent="0.25">
      <c r="C7" s="14" t="s">
        <v>43</v>
      </c>
      <c r="D7" s="15">
        <v>95.227098162810435</v>
      </c>
      <c r="E7" s="18">
        <v>3.4482758620689653</v>
      </c>
      <c r="F7" s="19">
        <f t="shared" ref="F7:F17" si="0">D7*E7</f>
        <v>328.36930400969112</v>
      </c>
      <c r="G7" s="19">
        <f t="shared" ref="G7:G17" si="1">F7*100000/12</f>
        <v>2736410.8667474259</v>
      </c>
      <c r="H7" s="19">
        <v>300</v>
      </c>
      <c r="I7" s="19">
        <f t="shared" ref="I7:I17" si="2">F7-H7</f>
        <v>28.36930400969112</v>
      </c>
      <c r="J7" s="19">
        <f t="shared" ref="J7:J17" si="3">600+F7</f>
        <v>928.36930400969118</v>
      </c>
      <c r="K7" s="19">
        <f t="shared" ref="K7:K17" si="4">J7*100000/12</f>
        <v>7736410.8667474268</v>
      </c>
      <c r="L7" s="19">
        <f t="shared" ref="L7:L17" si="5">1000-J7</f>
        <v>71.630695990308823</v>
      </c>
      <c r="M7" s="20">
        <f t="shared" ref="M7:M17" si="6">L7/J7*100</f>
        <v>7.7157544611751918</v>
      </c>
      <c r="N7" s="19">
        <f t="shared" ref="N7:N17" si="7">L7*100000/12</f>
        <v>596922.4665859068</v>
      </c>
      <c r="O7" s="17">
        <v>833333.33333333337</v>
      </c>
      <c r="P7" s="17">
        <f t="shared" ref="P7:P17" si="8">N7-O7</f>
        <v>-236410.86674742657</v>
      </c>
      <c r="Q7" s="28">
        <f t="shared" ref="Q7:Q17" si="9">P7/O7*100</f>
        <v>-28.369304009691188</v>
      </c>
    </row>
    <row r="8" spans="3:21" x14ac:dyDescent="0.25">
      <c r="C8" s="14" t="s">
        <v>44</v>
      </c>
      <c r="D8" s="16">
        <v>94.128125272997934</v>
      </c>
      <c r="E8" s="18">
        <v>3.4482758620689653</v>
      </c>
      <c r="F8" s="19">
        <f t="shared" si="0"/>
        <v>324.5797423206825</v>
      </c>
      <c r="G8" s="19">
        <f t="shared" si="1"/>
        <v>2704831.1860056873</v>
      </c>
      <c r="H8" s="19">
        <v>300</v>
      </c>
      <c r="I8" s="19">
        <f t="shared" si="2"/>
        <v>24.579742320682499</v>
      </c>
      <c r="J8" s="19">
        <f t="shared" si="3"/>
        <v>924.5797423206825</v>
      </c>
      <c r="K8" s="19">
        <f t="shared" si="4"/>
        <v>7704831.1860056883</v>
      </c>
      <c r="L8" s="19">
        <f t="shared" si="5"/>
        <v>75.420257679317501</v>
      </c>
      <c r="M8" s="20">
        <f t="shared" si="6"/>
        <v>8.1572474744053647</v>
      </c>
      <c r="N8" s="19">
        <f t="shared" si="7"/>
        <v>628502.1473276458</v>
      </c>
      <c r="O8" s="17">
        <v>833333.33333333337</v>
      </c>
      <c r="P8" s="17">
        <f t="shared" si="8"/>
        <v>-204831.18600568757</v>
      </c>
      <c r="Q8" s="28">
        <f t="shared" si="9"/>
        <v>-24.579742320682506</v>
      </c>
    </row>
    <row r="9" spans="3:21" x14ac:dyDescent="0.25">
      <c r="C9" s="14" t="s">
        <v>45</v>
      </c>
      <c r="D9" s="15">
        <v>92.947736275707243</v>
      </c>
      <c r="E9" s="18">
        <v>3.4482758620689653</v>
      </c>
      <c r="F9" s="19">
        <f t="shared" si="0"/>
        <v>320.50943543347324</v>
      </c>
      <c r="G9" s="19">
        <f t="shared" si="1"/>
        <v>2670911.9619456106</v>
      </c>
      <c r="H9" s="19">
        <v>300</v>
      </c>
      <c r="I9" s="19">
        <f t="shared" si="2"/>
        <v>20.509435433473243</v>
      </c>
      <c r="J9" s="19">
        <f t="shared" si="3"/>
        <v>920.5094354334733</v>
      </c>
      <c r="K9" s="19">
        <f t="shared" si="4"/>
        <v>7670911.9619456111</v>
      </c>
      <c r="L9" s="19">
        <f t="shared" si="5"/>
        <v>79.4905645665267</v>
      </c>
      <c r="M9" s="20">
        <f t="shared" si="6"/>
        <v>8.6354969875017229</v>
      </c>
      <c r="N9" s="19">
        <f t="shared" si="7"/>
        <v>662421.37138772255</v>
      </c>
      <c r="O9" s="17">
        <v>833333.33333333337</v>
      </c>
      <c r="P9" s="17">
        <f t="shared" si="8"/>
        <v>-170911.96194561082</v>
      </c>
      <c r="Q9" s="28">
        <f t="shared" si="9"/>
        <v>-20.509435433473296</v>
      </c>
    </row>
    <row r="10" spans="3:21" x14ac:dyDescent="0.25">
      <c r="C10" s="14" t="s">
        <v>46</v>
      </c>
      <c r="D10" s="16">
        <v>92.907176828708685</v>
      </c>
      <c r="E10" s="18">
        <v>3.4482758620689653</v>
      </c>
      <c r="F10" s="19">
        <f t="shared" si="0"/>
        <v>320.36957527140925</v>
      </c>
      <c r="G10" s="19">
        <f t="shared" si="1"/>
        <v>2669746.4605950769</v>
      </c>
      <c r="H10" s="19">
        <v>300</v>
      </c>
      <c r="I10" s="19">
        <f t="shared" si="2"/>
        <v>20.369575271409246</v>
      </c>
      <c r="J10" s="19">
        <f t="shared" si="3"/>
        <v>920.3695752714093</v>
      </c>
      <c r="K10" s="19">
        <f t="shared" si="4"/>
        <v>7669746.4605950778</v>
      </c>
      <c r="L10" s="19">
        <f t="shared" si="5"/>
        <v>79.630424728590697</v>
      </c>
      <c r="M10" s="20">
        <f t="shared" si="6"/>
        <v>8.6520053322175876</v>
      </c>
      <c r="N10" s="19">
        <f t="shared" si="7"/>
        <v>663586.87273825577</v>
      </c>
      <c r="O10" s="17">
        <v>833333.33333333337</v>
      </c>
      <c r="P10" s="17">
        <f t="shared" si="8"/>
        <v>-169746.4605950776</v>
      </c>
      <c r="Q10" s="28">
        <f t="shared" si="9"/>
        <v>-20.369575271409314</v>
      </c>
    </row>
    <row r="11" spans="3:21" x14ac:dyDescent="0.25">
      <c r="C11" s="14" t="s">
        <v>47</v>
      </c>
      <c r="D11" s="15">
        <v>93.380337789796812</v>
      </c>
      <c r="E11" s="18">
        <v>3.4482758620689653</v>
      </c>
      <c r="F11" s="19">
        <f t="shared" si="0"/>
        <v>322.00116479240279</v>
      </c>
      <c r="G11" s="19">
        <f t="shared" si="1"/>
        <v>2683343.0399366901</v>
      </c>
      <c r="H11" s="19">
        <v>300</v>
      </c>
      <c r="I11" s="19">
        <f t="shared" si="2"/>
        <v>22.00116479240279</v>
      </c>
      <c r="J11" s="19">
        <f t="shared" si="3"/>
        <v>922.00116479240273</v>
      </c>
      <c r="K11" s="19">
        <f t="shared" si="4"/>
        <v>7683343.0399366887</v>
      </c>
      <c r="L11" s="19">
        <f t="shared" si="5"/>
        <v>77.998835207597267</v>
      </c>
      <c r="M11" s="20">
        <f t="shared" si="6"/>
        <v>8.459732827469848</v>
      </c>
      <c r="N11" s="19">
        <f t="shared" si="7"/>
        <v>649990.29339664395</v>
      </c>
      <c r="O11" s="17">
        <v>833333.33333333337</v>
      </c>
      <c r="P11" s="17">
        <f t="shared" si="8"/>
        <v>-183343.03993668943</v>
      </c>
      <c r="Q11" s="28">
        <f t="shared" si="9"/>
        <v>-22.001164792402729</v>
      </c>
    </row>
    <row r="12" spans="3:21" x14ac:dyDescent="0.25">
      <c r="C12" s="14" t="s">
        <v>48</v>
      </c>
      <c r="D12" s="16">
        <v>91.7428241242703</v>
      </c>
      <c r="E12" s="18">
        <v>3.4482758620689653</v>
      </c>
      <c r="F12" s="19">
        <f t="shared" si="0"/>
        <v>316.35456594575965</v>
      </c>
      <c r="G12" s="19">
        <f t="shared" si="1"/>
        <v>2636288.0495479968</v>
      </c>
      <c r="H12" s="19">
        <v>300</v>
      </c>
      <c r="I12" s="19">
        <f t="shared" si="2"/>
        <v>16.354565945759646</v>
      </c>
      <c r="J12" s="19">
        <f t="shared" si="3"/>
        <v>916.35456594575965</v>
      </c>
      <c r="K12" s="19">
        <f t="shared" si="4"/>
        <v>7636288.0495479973</v>
      </c>
      <c r="L12" s="19">
        <f t="shared" si="5"/>
        <v>83.645434054240354</v>
      </c>
      <c r="M12" s="20">
        <f t="shared" si="6"/>
        <v>9.1280643064086</v>
      </c>
      <c r="N12" s="19">
        <f t="shared" si="7"/>
        <v>697045.2837853363</v>
      </c>
      <c r="O12" s="17">
        <v>833333.33333333337</v>
      </c>
      <c r="P12" s="17">
        <f t="shared" si="8"/>
        <v>-136288.04954799707</v>
      </c>
      <c r="Q12" s="28">
        <f t="shared" si="9"/>
        <v>-16.354565945759646</v>
      </c>
    </row>
    <row r="13" spans="3:21" x14ac:dyDescent="0.25">
      <c r="C13" s="14" t="s">
        <v>49</v>
      </c>
      <c r="D13" s="15">
        <v>91.700210157630011</v>
      </c>
      <c r="E13" s="18">
        <v>3.4482758620689653</v>
      </c>
      <c r="F13" s="19">
        <f t="shared" si="0"/>
        <v>316.20762123320691</v>
      </c>
      <c r="G13" s="19">
        <f t="shared" si="1"/>
        <v>2635063.5102767241</v>
      </c>
      <c r="H13" s="19">
        <v>300</v>
      </c>
      <c r="I13" s="19">
        <f t="shared" si="2"/>
        <v>16.207621233206908</v>
      </c>
      <c r="J13" s="19">
        <f t="shared" si="3"/>
        <v>916.20762123320696</v>
      </c>
      <c r="K13" s="19">
        <f t="shared" si="4"/>
        <v>7635063.5102767246</v>
      </c>
      <c r="L13" s="19">
        <f t="shared" si="5"/>
        <v>83.792378766793036</v>
      </c>
      <c r="M13" s="20">
        <f t="shared" si="6"/>
        <v>9.1455666625005012</v>
      </c>
      <c r="N13" s="19">
        <f t="shared" si="7"/>
        <v>698269.82305660855</v>
      </c>
      <c r="O13" s="17">
        <v>833333.33333333337</v>
      </c>
      <c r="P13" s="17">
        <f t="shared" si="8"/>
        <v>-135063.51027672482</v>
      </c>
      <c r="Q13" s="28">
        <f t="shared" si="9"/>
        <v>-16.207621233206979</v>
      </c>
    </row>
    <row r="14" spans="3:21" x14ac:dyDescent="0.25">
      <c r="C14" s="14" t="s">
        <v>50</v>
      </c>
      <c r="D14" s="16">
        <v>91.884660242264587</v>
      </c>
      <c r="E14" s="18">
        <v>3.4482758620689653</v>
      </c>
      <c r="F14" s="19">
        <f t="shared" si="0"/>
        <v>316.84365600780887</v>
      </c>
      <c r="G14" s="19">
        <f t="shared" si="1"/>
        <v>2640363.8000650737</v>
      </c>
      <c r="H14" s="19">
        <v>300</v>
      </c>
      <c r="I14" s="19">
        <f t="shared" si="2"/>
        <v>16.843656007808875</v>
      </c>
      <c r="J14" s="19">
        <f t="shared" si="3"/>
        <v>916.84365600780893</v>
      </c>
      <c r="K14" s="19">
        <f t="shared" si="4"/>
        <v>7640363.8000650741</v>
      </c>
      <c r="L14" s="19">
        <f t="shared" si="5"/>
        <v>83.156343992191069</v>
      </c>
      <c r="M14" s="20">
        <f t="shared" si="6"/>
        <v>9.0698499626726772</v>
      </c>
      <c r="N14" s="19">
        <f t="shared" si="7"/>
        <v>692969.53326825891</v>
      </c>
      <c r="O14" s="17">
        <v>833333.33333333337</v>
      </c>
      <c r="P14" s="17">
        <f t="shared" si="8"/>
        <v>-140363.80006507447</v>
      </c>
      <c r="Q14" s="28">
        <f t="shared" si="9"/>
        <v>-16.843656007808935</v>
      </c>
    </row>
    <row r="15" spans="3:21" x14ac:dyDescent="0.25">
      <c r="C15" s="14" t="s">
        <v>51</v>
      </c>
      <c r="D15" s="15">
        <v>91.588020847296278</v>
      </c>
      <c r="E15" s="18">
        <v>3.4482758620689653</v>
      </c>
      <c r="F15" s="19">
        <f t="shared" si="0"/>
        <v>315.82076154240093</v>
      </c>
      <c r="G15" s="19">
        <f t="shared" si="1"/>
        <v>2631839.6795200077</v>
      </c>
      <c r="H15" s="19">
        <v>300</v>
      </c>
      <c r="I15" s="19">
        <f t="shared" si="2"/>
        <v>15.82076154240093</v>
      </c>
      <c r="J15" s="19">
        <f t="shared" si="3"/>
        <v>915.82076154240099</v>
      </c>
      <c r="K15" s="19">
        <f t="shared" si="4"/>
        <v>7631839.6795200082</v>
      </c>
      <c r="L15" s="19">
        <f t="shared" si="5"/>
        <v>84.179238457599013</v>
      </c>
      <c r="M15" s="20">
        <f t="shared" si="6"/>
        <v>9.1916717760172393</v>
      </c>
      <c r="N15" s="19">
        <f t="shared" si="7"/>
        <v>701493.65381332522</v>
      </c>
      <c r="O15" s="17">
        <v>833333.33333333337</v>
      </c>
      <c r="P15" s="17">
        <f t="shared" si="8"/>
        <v>-131839.67952000815</v>
      </c>
      <c r="Q15" s="28">
        <f t="shared" si="9"/>
        <v>-15.820761542400977</v>
      </c>
    </row>
    <row r="16" spans="3:21" x14ac:dyDescent="0.25">
      <c r="C16" s="14" t="s">
        <v>52</v>
      </c>
      <c r="D16" s="16">
        <v>91.072079133333233</v>
      </c>
      <c r="E16" s="18">
        <v>3.4482758620689653</v>
      </c>
      <c r="F16" s="19">
        <f t="shared" si="0"/>
        <v>314.04165218390767</v>
      </c>
      <c r="G16" s="19">
        <f t="shared" si="1"/>
        <v>2617013.7681992305</v>
      </c>
      <c r="H16" s="19">
        <v>300</v>
      </c>
      <c r="I16" s="19">
        <f t="shared" si="2"/>
        <v>14.041652183907672</v>
      </c>
      <c r="J16" s="19">
        <f t="shared" si="3"/>
        <v>914.04165218390767</v>
      </c>
      <c r="K16" s="19">
        <f t="shared" si="4"/>
        <v>7617013.7681992305</v>
      </c>
      <c r="L16" s="19">
        <f t="shared" si="5"/>
        <v>85.958347816092328</v>
      </c>
      <c r="M16" s="20">
        <f t="shared" si="6"/>
        <v>9.4042046782784112</v>
      </c>
      <c r="N16" s="19">
        <f t="shared" si="7"/>
        <v>716319.56513410283</v>
      </c>
      <c r="O16" s="17">
        <v>833333.33333333337</v>
      </c>
      <c r="P16" s="17">
        <f t="shared" si="8"/>
        <v>-117013.76819923054</v>
      </c>
      <c r="Q16" s="28">
        <f t="shared" si="9"/>
        <v>-14.041652183907665</v>
      </c>
    </row>
    <row r="17" spans="3:17" x14ac:dyDescent="0.25">
      <c r="C17" s="14" t="s">
        <v>53</v>
      </c>
      <c r="D17" s="15">
        <v>92.965643665113305</v>
      </c>
      <c r="E17" s="18">
        <v>3.4482758620689653</v>
      </c>
      <c r="F17" s="19">
        <f t="shared" si="0"/>
        <v>320.5711850521148</v>
      </c>
      <c r="G17" s="19">
        <f t="shared" si="1"/>
        <v>2671426.5421009567</v>
      </c>
      <c r="H17" s="19">
        <v>300</v>
      </c>
      <c r="I17" s="19">
        <f t="shared" si="2"/>
        <v>20.571185052114799</v>
      </c>
      <c r="J17" s="19">
        <f t="shared" si="3"/>
        <v>920.57118505211474</v>
      </c>
      <c r="K17" s="19">
        <f t="shared" si="4"/>
        <v>7671426.5421009557</v>
      </c>
      <c r="L17" s="19">
        <f t="shared" si="5"/>
        <v>79.428814947885257</v>
      </c>
      <c r="M17" s="20">
        <f t="shared" si="6"/>
        <v>8.6282099893653186</v>
      </c>
      <c r="N17" s="19">
        <f t="shared" si="7"/>
        <v>661906.79123237717</v>
      </c>
      <c r="O17" s="17">
        <v>833333.33333333337</v>
      </c>
      <c r="P17" s="17">
        <f t="shared" si="8"/>
        <v>-171426.5421009562</v>
      </c>
      <c r="Q17" s="28">
        <f t="shared" si="9"/>
        <v>-20.571185052114743</v>
      </c>
    </row>
    <row r="20" spans="3:17" x14ac:dyDescent="0.25">
      <c r="D20" s="41" t="s">
        <v>65</v>
      </c>
      <c r="E20" s="41"/>
      <c r="F20" s="41"/>
      <c r="G20" s="39"/>
    </row>
    <row r="22" spans="3:17" x14ac:dyDescent="0.25">
      <c r="C22" s="13" t="s">
        <v>40</v>
      </c>
      <c r="D22" s="13" t="s">
        <v>41</v>
      </c>
      <c r="E22" s="21" t="s">
        <v>54</v>
      </c>
      <c r="F22" s="21" t="s">
        <v>55</v>
      </c>
      <c r="G22" s="21" t="s">
        <v>107</v>
      </c>
      <c r="H22" s="21" t="s">
        <v>57</v>
      </c>
      <c r="I22" s="21" t="s">
        <v>62</v>
      </c>
      <c r="J22" s="21" t="s">
        <v>58</v>
      </c>
      <c r="K22" s="21" t="s">
        <v>108</v>
      </c>
      <c r="L22" s="21" t="s">
        <v>59</v>
      </c>
      <c r="M22" s="21" t="s">
        <v>63</v>
      </c>
      <c r="N22" s="21" t="s">
        <v>60</v>
      </c>
      <c r="O22" s="21" t="s">
        <v>64</v>
      </c>
      <c r="P22" s="21" t="s">
        <v>91</v>
      </c>
      <c r="Q22" s="30" t="s">
        <v>94</v>
      </c>
    </row>
    <row r="23" spans="3:17" x14ac:dyDescent="0.25">
      <c r="C23" s="14" t="s">
        <v>42</v>
      </c>
      <c r="D23" s="16">
        <v>91.143532044045742</v>
      </c>
      <c r="E23" s="18">
        <v>3.4482758620689653</v>
      </c>
      <c r="F23" s="19">
        <f>D23*E23</f>
        <v>314.28804153119222</v>
      </c>
      <c r="G23" s="19">
        <f>F23*100000/12</f>
        <v>2619067.0127599351</v>
      </c>
      <c r="H23" s="19">
        <v>300</v>
      </c>
      <c r="I23" s="19">
        <f>F23-H23</f>
        <v>14.288041531192221</v>
      </c>
      <c r="J23" s="19">
        <f>600+F23</f>
        <v>914.28804153119222</v>
      </c>
      <c r="K23" s="19">
        <f>J23*100000/12</f>
        <v>7619067.0127599351</v>
      </c>
      <c r="L23" s="19">
        <f>1000-J23</f>
        <v>85.711958468807779</v>
      </c>
      <c r="M23" s="20">
        <f>L23/J23*100</f>
        <v>9.374721594877558</v>
      </c>
      <c r="N23" s="19">
        <f>(L23*100000)/12</f>
        <v>714266.32057339826</v>
      </c>
      <c r="O23" s="17">
        <v>833333.33333333337</v>
      </c>
      <c r="P23" s="17">
        <f>N23-O23</f>
        <v>-119067.01275993511</v>
      </c>
      <c r="Q23" s="28">
        <f>P23/O23*100</f>
        <v>-14.288041531192214</v>
      </c>
    </row>
    <row r="24" spans="3:17" x14ac:dyDescent="0.25">
      <c r="C24" s="14" t="s">
        <v>43</v>
      </c>
      <c r="D24" s="15">
        <v>92.016032304663156</v>
      </c>
      <c r="E24" s="18">
        <v>3.4482758620689653</v>
      </c>
      <c r="F24" s="19">
        <f t="shared" ref="F24:F34" si="10">D24*E24</f>
        <v>317.29666311952809</v>
      </c>
      <c r="G24" s="19">
        <f t="shared" ref="G24:G34" si="11">F24*100000/12</f>
        <v>2644138.859329401</v>
      </c>
      <c r="H24" s="19">
        <v>300</v>
      </c>
      <c r="I24" s="19">
        <f t="shared" ref="I24:I34" si="12">F24-H24</f>
        <v>17.296663119528091</v>
      </c>
      <c r="J24" s="19">
        <f t="shared" ref="J24:J34" si="13">600+F24</f>
        <v>917.29666311952815</v>
      </c>
      <c r="K24" s="19">
        <f t="shared" ref="K24:K34" si="14">J24*100000/12</f>
        <v>7644138.8593294015</v>
      </c>
      <c r="L24" s="19">
        <f t="shared" ref="L24:L34" si="15">1000-J24</f>
        <v>82.703336880471852</v>
      </c>
      <c r="M24" s="20">
        <f t="shared" ref="M24:M34" si="16">L24/J24*100</f>
        <v>9.0159857988816441</v>
      </c>
      <c r="N24" s="19">
        <f t="shared" ref="N24:N34" si="17">L24*100000/12</f>
        <v>689194.47400393209</v>
      </c>
      <c r="O24" s="17">
        <v>833333.33333333337</v>
      </c>
      <c r="P24" s="17">
        <f t="shared" ref="P24:P34" si="18">N24-O24</f>
        <v>-144138.85932940128</v>
      </c>
      <c r="Q24" s="28">
        <f t="shared" ref="Q24:Q34" si="19">P24/O24*100</f>
        <v>-17.296663119528151</v>
      </c>
    </row>
    <row r="25" spans="3:17" x14ac:dyDescent="0.25">
      <c r="C25" s="14" t="s">
        <v>44</v>
      </c>
      <c r="D25" s="16">
        <v>90.310867744914134</v>
      </c>
      <c r="E25" s="18">
        <v>3.4482758620689653</v>
      </c>
      <c r="F25" s="19">
        <f t="shared" si="10"/>
        <v>311.41678532729009</v>
      </c>
      <c r="G25" s="19">
        <f t="shared" si="11"/>
        <v>2595139.8777274173</v>
      </c>
      <c r="H25" s="19">
        <v>300</v>
      </c>
      <c r="I25" s="19">
        <f t="shared" si="12"/>
        <v>11.416785327290086</v>
      </c>
      <c r="J25" s="19">
        <f t="shared" si="13"/>
        <v>911.41678532729009</v>
      </c>
      <c r="K25" s="19">
        <f t="shared" si="14"/>
        <v>7595139.8777274182</v>
      </c>
      <c r="L25" s="19">
        <f t="shared" si="15"/>
        <v>88.583214672709914</v>
      </c>
      <c r="M25" s="20">
        <f t="shared" si="16"/>
        <v>9.719287169030979</v>
      </c>
      <c r="N25" s="19">
        <f t="shared" si="17"/>
        <v>738193.45560591586</v>
      </c>
      <c r="O25" s="17">
        <v>833333.33333333337</v>
      </c>
      <c r="P25" s="17">
        <f t="shared" si="18"/>
        <v>-95139.877727417508</v>
      </c>
      <c r="Q25" s="28">
        <f t="shared" si="19"/>
        <v>-11.4167853272901</v>
      </c>
    </row>
    <row r="26" spans="3:17" x14ac:dyDescent="0.25">
      <c r="C26" s="14" t="s">
        <v>45</v>
      </c>
      <c r="D26" s="15">
        <v>88.530424933325932</v>
      </c>
      <c r="E26" s="18">
        <v>3.4482758620689653</v>
      </c>
      <c r="F26" s="19">
        <f t="shared" si="10"/>
        <v>305.27732735629633</v>
      </c>
      <c r="G26" s="19">
        <f t="shared" si="11"/>
        <v>2543977.7279691361</v>
      </c>
      <c r="H26" s="19">
        <v>300</v>
      </c>
      <c r="I26" s="19">
        <f t="shared" si="12"/>
        <v>5.2773273562963254</v>
      </c>
      <c r="J26" s="19">
        <f t="shared" si="13"/>
        <v>905.27732735629638</v>
      </c>
      <c r="K26" s="19">
        <f t="shared" si="14"/>
        <v>7543977.7279691361</v>
      </c>
      <c r="L26" s="19">
        <f t="shared" si="15"/>
        <v>94.722672643703618</v>
      </c>
      <c r="M26" s="20">
        <f t="shared" si="16"/>
        <v>10.463387271646862</v>
      </c>
      <c r="N26" s="19">
        <f t="shared" si="17"/>
        <v>789355.60536419682</v>
      </c>
      <c r="O26" s="17">
        <v>833333.33333333337</v>
      </c>
      <c r="P26" s="17">
        <f t="shared" si="18"/>
        <v>-43977.727969136555</v>
      </c>
      <c r="Q26" s="28">
        <f t="shared" si="19"/>
        <v>-5.2773273562963867</v>
      </c>
    </row>
    <row r="27" spans="3:17" x14ac:dyDescent="0.25">
      <c r="C27" s="14" t="s">
        <v>46</v>
      </c>
      <c r="D27" s="16">
        <v>87.888719139895983</v>
      </c>
      <c r="E27" s="18">
        <v>3.4482758620689653</v>
      </c>
      <c r="F27" s="19">
        <f t="shared" si="10"/>
        <v>303.06454875826199</v>
      </c>
      <c r="G27" s="19">
        <f t="shared" si="11"/>
        <v>2525537.9063188499</v>
      </c>
      <c r="H27" s="19">
        <v>300</v>
      </c>
      <c r="I27" s="19">
        <f t="shared" si="12"/>
        <v>3.0645487582619921</v>
      </c>
      <c r="J27" s="19">
        <f t="shared" si="13"/>
        <v>903.06454875826194</v>
      </c>
      <c r="K27" s="19">
        <f t="shared" si="14"/>
        <v>7525537.9063188499</v>
      </c>
      <c r="L27" s="19">
        <f t="shared" si="15"/>
        <v>96.935451241738065</v>
      </c>
      <c r="M27" s="20">
        <f t="shared" si="16"/>
        <v>10.734055652503125</v>
      </c>
      <c r="N27" s="19">
        <f t="shared" si="17"/>
        <v>807795.42701448395</v>
      </c>
      <c r="O27" s="17">
        <v>833333.33333333337</v>
      </c>
      <c r="P27" s="17">
        <f t="shared" si="18"/>
        <v>-25537.906318849418</v>
      </c>
      <c r="Q27" s="28">
        <f t="shared" si="19"/>
        <v>-3.06454875826193</v>
      </c>
    </row>
    <row r="28" spans="3:17" x14ac:dyDescent="0.25">
      <c r="C28" s="14" t="s">
        <v>47</v>
      </c>
      <c r="D28" s="15">
        <v>87.75550805709193</v>
      </c>
      <c r="E28" s="18">
        <v>3.4482758620689653</v>
      </c>
      <c r="F28" s="19">
        <f t="shared" si="10"/>
        <v>302.60520019686868</v>
      </c>
      <c r="G28" s="19">
        <f t="shared" si="11"/>
        <v>2521710.0016405722</v>
      </c>
      <c r="H28" s="19">
        <v>300</v>
      </c>
      <c r="I28" s="19">
        <f t="shared" si="12"/>
        <v>2.6052001968686795</v>
      </c>
      <c r="J28" s="19">
        <f t="shared" si="13"/>
        <v>902.60520019686874</v>
      </c>
      <c r="K28" s="19">
        <f t="shared" si="14"/>
        <v>7521710.0016405731</v>
      </c>
      <c r="L28" s="19">
        <f t="shared" si="15"/>
        <v>97.394799803131264</v>
      </c>
      <c r="M28" s="20">
        <f t="shared" si="16"/>
        <v>10.790409780697953</v>
      </c>
      <c r="N28" s="19">
        <f t="shared" si="17"/>
        <v>811623.33169276046</v>
      </c>
      <c r="O28" s="17">
        <v>833333.33333333337</v>
      </c>
      <c r="P28" s="17">
        <f t="shared" si="18"/>
        <v>-21710.001640572911</v>
      </c>
      <c r="Q28" s="28">
        <f t="shared" si="19"/>
        <v>-2.6052001968687493</v>
      </c>
    </row>
    <row r="29" spans="3:17" x14ac:dyDescent="0.25">
      <c r="C29" s="14" t="s">
        <v>48</v>
      </c>
      <c r="D29" s="16">
        <v>85.503879054174504</v>
      </c>
      <c r="E29" s="18">
        <v>3.4482758620689653</v>
      </c>
      <c r="F29" s="19">
        <f t="shared" si="10"/>
        <v>294.84096225577412</v>
      </c>
      <c r="G29" s="19">
        <f t="shared" si="11"/>
        <v>2457008.0187981175</v>
      </c>
      <c r="H29" s="19">
        <v>300</v>
      </c>
      <c r="I29" s="19">
        <f t="shared" si="12"/>
        <v>-5.1590377442258841</v>
      </c>
      <c r="J29" s="19">
        <f t="shared" si="13"/>
        <v>894.84096225577412</v>
      </c>
      <c r="K29" s="19">
        <f t="shared" si="14"/>
        <v>7457008.0187981175</v>
      </c>
      <c r="L29" s="19">
        <f t="shared" si="15"/>
        <v>105.15903774422588</v>
      </c>
      <c r="M29" s="20">
        <f t="shared" si="16"/>
        <v>11.75170138380054</v>
      </c>
      <c r="N29" s="19">
        <f t="shared" si="17"/>
        <v>876325.31453521561</v>
      </c>
      <c r="O29" s="17">
        <v>833333.33333333337</v>
      </c>
      <c r="P29" s="17">
        <f t="shared" si="18"/>
        <v>42991.981201882241</v>
      </c>
      <c r="Q29" s="28">
        <f t="shared" si="19"/>
        <v>5.159037744225869</v>
      </c>
    </row>
    <row r="30" spans="3:17" x14ac:dyDescent="0.25">
      <c r="C30" s="14" t="s">
        <v>49</v>
      </c>
      <c r="D30" s="15">
        <v>84.837811450089788</v>
      </c>
      <c r="E30" s="18">
        <v>3.4482758620689653</v>
      </c>
      <c r="F30" s="19">
        <f t="shared" si="10"/>
        <v>292.54417741410271</v>
      </c>
      <c r="G30" s="19">
        <f t="shared" si="11"/>
        <v>2437868.1451175227</v>
      </c>
      <c r="H30" s="19">
        <v>300</v>
      </c>
      <c r="I30" s="19">
        <f t="shared" si="12"/>
        <v>-7.4558225858972946</v>
      </c>
      <c r="J30" s="19">
        <f t="shared" si="13"/>
        <v>892.54417741410271</v>
      </c>
      <c r="K30" s="19">
        <f t="shared" si="14"/>
        <v>7437868.1451175222</v>
      </c>
      <c r="L30" s="19">
        <f t="shared" si="15"/>
        <v>107.45582258589729</v>
      </c>
      <c r="M30" s="20">
        <f t="shared" si="16"/>
        <v>12.039272150900194</v>
      </c>
      <c r="N30" s="19">
        <f t="shared" si="17"/>
        <v>895465.18821581081</v>
      </c>
      <c r="O30" s="17">
        <v>833333.33333333337</v>
      </c>
      <c r="P30" s="19">
        <f t="shared" si="18"/>
        <v>62131.854882477433</v>
      </c>
      <c r="Q30" s="28">
        <f t="shared" si="19"/>
        <v>7.4558225858972911</v>
      </c>
    </row>
    <row r="31" spans="3:17" x14ac:dyDescent="0.25">
      <c r="C31" s="14" t="s">
        <v>50</v>
      </c>
      <c r="D31" s="16">
        <v>84.388436454767231</v>
      </c>
      <c r="E31" s="18">
        <v>3.4482758620689653</v>
      </c>
      <c r="F31" s="19">
        <f t="shared" si="10"/>
        <v>290.99460846471459</v>
      </c>
      <c r="G31" s="19">
        <f t="shared" si="11"/>
        <v>2424955.0705392882</v>
      </c>
      <c r="H31" s="19">
        <v>300</v>
      </c>
      <c r="I31" s="19">
        <f t="shared" si="12"/>
        <v>-9.0053915352854119</v>
      </c>
      <c r="J31" s="19">
        <f t="shared" si="13"/>
        <v>890.99460846471459</v>
      </c>
      <c r="K31" s="19">
        <f t="shared" si="14"/>
        <v>7424955.0705392882</v>
      </c>
      <c r="L31" s="19">
        <f t="shared" si="15"/>
        <v>109.00539153528541</v>
      </c>
      <c r="M31" s="20">
        <f t="shared" si="16"/>
        <v>12.234124707344094</v>
      </c>
      <c r="N31" s="19">
        <f t="shared" si="17"/>
        <v>908378.26279404515</v>
      </c>
      <c r="O31" s="17">
        <v>833333.33333333337</v>
      </c>
      <c r="P31" s="19">
        <f t="shared" si="18"/>
        <v>75044.929460711777</v>
      </c>
      <c r="Q31" s="28">
        <f t="shared" si="19"/>
        <v>9.0053915352854137</v>
      </c>
    </row>
    <row r="32" spans="3:17" x14ac:dyDescent="0.25">
      <c r="C32" s="14" t="s">
        <v>51</v>
      </c>
      <c r="D32" s="15">
        <v>83.446926265470239</v>
      </c>
      <c r="E32" s="18">
        <v>3.4482758620689653</v>
      </c>
      <c r="F32" s="19">
        <f t="shared" si="10"/>
        <v>287.74802160506977</v>
      </c>
      <c r="G32" s="19">
        <f t="shared" si="11"/>
        <v>2397900.1800422478</v>
      </c>
      <c r="H32" s="19">
        <v>300</v>
      </c>
      <c r="I32" s="19">
        <f t="shared" si="12"/>
        <v>-12.251978394930234</v>
      </c>
      <c r="J32" s="19">
        <f t="shared" si="13"/>
        <v>887.74802160506977</v>
      </c>
      <c r="K32" s="19">
        <f t="shared" si="14"/>
        <v>7397900.1800422482</v>
      </c>
      <c r="L32" s="19">
        <f t="shared" si="15"/>
        <v>112.25197839493023</v>
      </c>
      <c r="M32" s="20">
        <f t="shared" si="16"/>
        <v>12.644576576129785</v>
      </c>
      <c r="N32" s="19">
        <f t="shared" si="17"/>
        <v>935433.15329108527</v>
      </c>
      <c r="O32" s="17">
        <v>833333.33333333337</v>
      </c>
      <c r="P32" s="17">
        <f t="shared" si="18"/>
        <v>102099.8199577519</v>
      </c>
      <c r="Q32" s="28">
        <f t="shared" si="19"/>
        <v>12.251978394930227</v>
      </c>
    </row>
    <row r="33" spans="3:17" x14ac:dyDescent="0.25">
      <c r="C33" s="14" t="s">
        <v>52</v>
      </c>
      <c r="D33" s="16">
        <v>82.274631433867896</v>
      </c>
      <c r="E33" s="18">
        <v>3.4482758620689653</v>
      </c>
      <c r="F33" s="19">
        <f t="shared" si="10"/>
        <v>283.70562563402723</v>
      </c>
      <c r="G33" s="19">
        <f t="shared" si="11"/>
        <v>2364213.5469502271</v>
      </c>
      <c r="H33" s="19">
        <v>300</v>
      </c>
      <c r="I33" s="19">
        <f t="shared" si="12"/>
        <v>-16.294374365972772</v>
      </c>
      <c r="J33" s="19">
        <f t="shared" si="13"/>
        <v>883.70562563402723</v>
      </c>
      <c r="K33" s="19">
        <f t="shared" si="14"/>
        <v>7364213.5469502276</v>
      </c>
      <c r="L33" s="19">
        <f t="shared" si="15"/>
        <v>116.29437436597277</v>
      </c>
      <c r="M33" s="20">
        <f t="shared" si="16"/>
        <v>13.159854480108772</v>
      </c>
      <c r="N33" s="19">
        <f t="shared" si="17"/>
        <v>969119.78638310637</v>
      </c>
      <c r="O33" s="17">
        <v>833333.33333333337</v>
      </c>
      <c r="P33" s="17">
        <f t="shared" si="18"/>
        <v>135786.453049773</v>
      </c>
      <c r="Q33" s="28">
        <f t="shared" si="19"/>
        <v>16.294374365972757</v>
      </c>
    </row>
    <row r="34" spans="3:17" x14ac:dyDescent="0.25">
      <c r="C34" s="14" t="s">
        <v>53</v>
      </c>
      <c r="D34" s="15">
        <v>83.500085761555624</v>
      </c>
      <c r="E34" s="18">
        <v>3.4482758620689653</v>
      </c>
      <c r="F34" s="19">
        <f t="shared" si="10"/>
        <v>287.93133021226078</v>
      </c>
      <c r="G34" s="19">
        <f t="shared" si="11"/>
        <v>2399427.75176884</v>
      </c>
      <c r="H34" s="19">
        <v>300</v>
      </c>
      <c r="I34" s="19">
        <f t="shared" si="12"/>
        <v>-12.068669787739225</v>
      </c>
      <c r="J34" s="19">
        <f t="shared" si="13"/>
        <v>887.93133021226072</v>
      </c>
      <c r="K34" s="19">
        <f t="shared" si="14"/>
        <v>7399427.7517688395</v>
      </c>
      <c r="L34" s="19">
        <f t="shared" si="15"/>
        <v>112.06866978773928</v>
      </c>
      <c r="M34" s="20">
        <f t="shared" si="16"/>
        <v>12.621321714253417</v>
      </c>
      <c r="N34" s="19">
        <f t="shared" si="17"/>
        <v>933905.58156449394</v>
      </c>
      <c r="O34" s="17">
        <v>833333.33333333337</v>
      </c>
      <c r="P34" s="17">
        <f t="shared" si="18"/>
        <v>100572.24823116057</v>
      </c>
      <c r="Q34" s="28">
        <f t="shared" si="19"/>
        <v>12.068669787739267</v>
      </c>
    </row>
    <row r="37" spans="3:17" x14ac:dyDescent="0.25">
      <c r="E37" s="45" t="s">
        <v>67</v>
      </c>
      <c r="F37" s="46"/>
      <c r="G37" s="46"/>
      <c r="H37" s="47"/>
    </row>
    <row r="39" spans="3:17" x14ac:dyDescent="0.25">
      <c r="C39" s="13" t="s">
        <v>40</v>
      </c>
      <c r="D39" s="13" t="s">
        <v>41</v>
      </c>
      <c r="E39" s="21" t="s">
        <v>54</v>
      </c>
      <c r="F39" s="21" t="s">
        <v>55</v>
      </c>
      <c r="G39" s="21" t="s">
        <v>107</v>
      </c>
      <c r="H39" s="21" t="s">
        <v>57</v>
      </c>
      <c r="I39" s="21" t="s">
        <v>62</v>
      </c>
      <c r="J39" s="21" t="s">
        <v>58</v>
      </c>
      <c r="K39" s="21" t="s">
        <v>108</v>
      </c>
      <c r="L39" s="21" t="s">
        <v>59</v>
      </c>
      <c r="M39" s="21" t="s">
        <v>63</v>
      </c>
      <c r="N39" s="21" t="s">
        <v>60</v>
      </c>
      <c r="O39" s="21" t="s">
        <v>64</v>
      </c>
      <c r="P39" s="21" t="s">
        <v>91</v>
      </c>
      <c r="Q39" s="30" t="s">
        <v>94</v>
      </c>
    </row>
    <row r="40" spans="3:17" x14ac:dyDescent="0.25">
      <c r="C40" s="14" t="s">
        <v>42</v>
      </c>
      <c r="D40" s="16">
        <v>96.312936642210019</v>
      </c>
      <c r="E40" s="18">
        <v>3.4482758620689653</v>
      </c>
      <c r="F40" s="19">
        <f>E40*D40</f>
        <v>332.1135746283104</v>
      </c>
      <c r="G40" s="19">
        <f>F40*100000/12</f>
        <v>2767613.1219025864</v>
      </c>
      <c r="H40" s="19">
        <v>300</v>
      </c>
      <c r="I40" s="19">
        <f>F40-H40</f>
        <v>32.113574628310403</v>
      </c>
      <c r="J40" s="19">
        <f>600+F40</f>
        <v>932.1135746283104</v>
      </c>
      <c r="K40" s="19">
        <f>J40*100000/12</f>
        <v>7767613.121902586</v>
      </c>
      <c r="L40" s="19">
        <f>1000-J40</f>
        <v>67.886425371689597</v>
      </c>
      <c r="M40" s="20">
        <f>L40/J40*100</f>
        <v>7.2830636973353791</v>
      </c>
      <c r="N40" s="19">
        <f>(L40*100000)/12</f>
        <v>565720.21143074671</v>
      </c>
      <c r="O40" s="17">
        <v>833333.33333333337</v>
      </c>
      <c r="P40" s="17">
        <f>N40-O40</f>
        <v>-267613.12190258666</v>
      </c>
      <c r="Q40" s="28">
        <f>P40/O40*100</f>
        <v>-32.113574628310396</v>
      </c>
    </row>
    <row r="41" spans="3:17" x14ac:dyDescent="0.25">
      <c r="C41" s="14" t="s">
        <v>43</v>
      </c>
      <c r="D41" s="15">
        <v>98.438164020957714</v>
      </c>
      <c r="E41" s="18">
        <v>3.4482758620689653</v>
      </c>
      <c r="F41" s="19">
        <f t="shared" ref="F41:F51" si="20">E41*D41</f>
        <v>339.44194489985415</v>
      </c>
      <c r="G41" s="19">
        <f t="shared" ref="G41:G51" si="21">F41*100000/12</f>
        <v>2828682.8741654512</v>
      </c>
      <c r="H41" s="19">
        <v>300</v>
      </c>
      <c r="I41" s="19">
        <f t="shared" ref="I41:I51" si="22">F41-H41</f>
        <v>39.44194489985415</v>
      </c>
      <c r="J41" s="19">
        <f t="shared" ref="J41:J51" si="23">600+F41</f>
        <v>939.44194489985421</v>
      </c>
      <c r="K41" s="19">
        <f t="shared" ref="K41:K51" si="24">J41*100000/12</f>
        <v>7828682.8741654521</v>
      </c>
      <c r="L41" s="19">
        <f t="shared" ref="L41:L51" si="25">1000-J41</f>
        <v>60.558055100145793</v>
      </c>
      <c r="M41" s="20">
        <f t="shared" ref="M41:M51" si="26">L41/J41*100</f>
        <v>6.4461732232534459</v>
      </c>
      <c r="N41" s="19">
        <f t="shared" ref="N41:N51" si="27">L41*100000/12</f>
        <v>504650.45916788164</v>
      </c>
      <c r="O41" s="17">
        <v>833333.33333333337</v>
      </c>
      <c r="P41" s="17">
        <f t="shared" ref="P41:P51" si="28">N41-O41</f>
        <v>-328682.87416545174</v>
      </c>
      <c r="Q41" s="28">
        <f t="shared" ref="Q41:Q51" si="29">P41/O41*100</f>
        <v>-39.441944899854207</v>
      </c>
    </row>
    <row r="42" spans="3:17" x14ac:dyDescent="0.25">
      <c r="C42" s="14" t="s">
        <v>44</v>
      </c>
      <c r="D42" s="16">
        <v>97.945382801081735</v>
      </c>
      <c r="E42" s="18">
        <v>3.4482758620689653</v>
      </c>
      <c r="F42" s="19">
        <f t="shared" si="20"/>
        <v>337.74269931407491</v>
      </c>
      <c r="G42" s="19">
        <f t="shared" si="21"/>
        <v>2814522.4942839574</v>
      </c>
      <c r="H42" s="19">
        <v>300</v>
      </c>
      <c r="I42" s="19">
        <f t="shared" si="22"/>
        <v>37.742699314074912</v>
      </c>
      <c r="J42" s="19">
        <f t="shared" si="23"/>
        <v>937.74269931407491</v>
      </c>
      <c r="K42" s="19">
        <f t="shared" si="24"/>
        <v>7814522.4942839583</v>
      </c>
      <c r="L42" s="19">
        <f t="shared" si="25"/>
        <v>62.257300685925088</v>
      </c>
      <c r="M42" s="20">
        <f t="shared" si="26"/>
        <v>6.6390600248302718</v>
      </c>
      <c r="N42" s="19">
        <f t="shared" si="27"/>
        <v>518810.83904937579</v>
      </c>
      <c r="O42" s="17">
        <v>833333.33333333337</v>
      </c>
      <c r="P42" s="17">
        <f t="shared" si="28"/>
        <v>-314522.49428395758</v>
      </c>
      <c r="Q42" s="28">
        <f t="shared" si="29"/>
        <v>-37.742699314074905</v>
      </c>
    </row>
    <row r="43" spans="3:17" x14ac:dyDescent="0.25">
      <c r="C43" s="14" t="s">
        <v>45</v>
      </c>
      <c r="D43" s="15">
        <v>97.365047618088553</v>
      </c>
      <c r="E43" s="18">
        <v>3.4482758620689653</v>
      </c>
      <c r="F43" s="19">
        <f t="shared" si="20"/>
        <v>335.74154351065016</v>
      </c>
      <c r="G43" s="19">
        <f t="shared" si="21"/>
        <v>2797846.1959220846</v>
      </c>
      <c r="H43" s="19">
        <v>300</v>
      </c>
      <c r="I43" s="19">
        <f t="shared" si="22"/>
        <v>35.74154351065016</v>
      </c>
      <c r="J43" s="19">
        <f t="shared" si="23"/>
        <v>935.74154351065022</v>
      </c>
      <c r="K43" s="19">
        <f t="shared" si="24"/>
        <v>7797846.1959220851</v>
      </c>
      <c r="L43" s="19">
        <f t="shared" si="25"/>
        <v>64.258456489349783</v>
      </c>
      <c r="M43" s="20">
        <f t="shared" si="26"/>
        <v>6.867115918383762</v>
      </c>
      <c r="N43" s="19">
        <f t="shared" si="27"/>
        <v>535487.13741124817</v>
      </c>
      <c r="O43" s="17">
        <v>833333.33333333337</v>
      </c>
      <c r="P43" s="17">
        <f t="shared" si="28"/>
        <v>-297846.1959220852</v>
      </c>
      <c r="Q43" s="28">
        <f t="shared" si="29"/>
        <v>-35.741543510650217</v>
      </c>
    </row>
    <row r="44" spans="3:17" x14ac:dyDescent="0.25">
      <c r="C44" s="14" t="s">
        <v>46</v>
      </c>
      <c r="D44" s="16">
        <v>97.925634517521388</v>
      </c>
      <c r="E44" s="18">
        <v>3.4482758620689653</v>
      </c>
      <c r="F44" s="19">
        <f t="shared" si="20"/>
        <v>337.6746017845565</v>
      </c>
      <c r="G44" s="19">
        <f t="shared" si="21"/>
        <v>2813955.0148713044</v>
      </c>
      <c r="H44" s="19">
        <v>300</v>
      </c>
      <c r="I44" s="19">
        <f t="shared" si="22"/>
        <v>37.674601784556501</v>
      </c>
      <c r="J44" s="19">
        <f t="shared" si="23"/>
        <v>937.67460178455644</v>
      </c>
      <c r="K44" s="19">
        <f t="shared" si="24"/>
        <v>7813955.0148713039</v>
      </c>
      <c r="L44" s="19">
        <f t="shared" si="25"/>
        <v>62.325398215443556</v>
      </c>
      <c r="M44" s="20">
        <f t="shared" si="26"/>
        <v>6.6468045627798356</v>
      </c>
      <c r="N44" s="19">
        <f t="shared" si="27"/>
        <v>519378.31846202962</v>
      </c>
      <c r="O44" s="17">
        <v>833333.33333333337</v>
      </c>
      <c r="P44" s="17">
        <f t="shared" si="28"/>
        <v>-313955.01487130375</v>
      </c>
      <c r="Q44" s="28">
        <f t="shared" si="29"/>
        <v>-37.674601784556451</v>
      </c>
    </row>
    <row r="45" spans="3:17" x14ac:dyDescent="0.25">
      <c r="C45" s="14" t="s">
        <v>47</v>
      </c>
      <c r="D45" s="15">
        <v>99.005167522501694</v>
      </c>
      <c r="E45" s="18">
        <v>3.4482758620689653</v>
      </c>
      <c r="F45" s="19">
        <f t="shared" si="20"/>
        <v>341.39712938793684</v>
      </c>
      <c r="G45" s="19">
        <f t="shared" si="21"/>
        <v>2844976.0782328066</v>
      </c>
      <c r="H45" s="19">
        <v>300</v>
      </c>
      <c r="I45" s="19">
        <f t="shared" si="22"/>
        <v>41.397129387936843</v>
      </c>
      <c r="J45" s="19">
        <f t="shared" si="23"/>
        <v>941.39712938793684</v>
      </c>
      <c r="K45" s="19">
        <f t="shared" si="24"/>
        <v>7844976.0782328071</v>
      </c>
      <c r="L45" s="19">
        <f t="shared" si="25"/>
        <v>58.602870612063157</v>
      </c>
      <c r="M45" s="20">
        <f t="shared" si="26"/>
        <v>6.2250955290425276</v>
      </c>
      <c r="N45" s="19">
        <f t="shared" si="27"/>
        <v>488357.25510052632</v>
      </c>
      <c r="O45" s="17">
        <v>833333.33333333337</v>
      </c>
      <c r="P45" s="17">
        <f t="shared" si="28"/>
        <v>-344976.07823280705</v>
      </c>
      <c r="Q45" s="28">
        <f t="shared" si="29"/>
        <v>-41.397129387936843</v>
      </c>
    </row>
    <row r="46" spans="3:17" x14ac:dyDescent="0.25">
      <c r="C46" s="14" t="s">
        <v>48</v>
      </c>
      <c r="D46" s="16">
        <v>97.981769194366152</v>
      </c>
      <c r="E46" s="18">
        <v>3.4482758620689653</v>
      </c>
      <c r="F46" s="19">
        <f t="shared" si="20"/>
        <v>337.86816963574535</v>
      </c>
      <c r="G46" s="19">
        <f t="shared" si="21"/>
        <v>2815568.080297878</v>
      </c>
      <c r="H46" s="19">
        <v>300</v>
      </c>
      <c r="I46" s="19">
        <f t="shared" si="22"/>
        <v>37.868169635745346</v>
      </c>
      <c r="J46" s="19">
        <f t="shared" si="23"/>
        <v>937.86816963574529</v>
      </c>
      <c r="K46" s="19">
        <f t="shared" si="24"/>
        <v>7815568.0802978771</v>
      </c>
      <c r="L46" s="19">
        <f t="shared" si="25"/>
        <v>62.131830364254711</v>
      </c>
      <c r="M46" s="20">
        <f t="shared" si="26"/>
        <v>6.6247935878222446</v>
      </c>
      <c r="N46" s="19">
        <f t="shared" si="27"/>
        <v>517765.25303545594</v>
      </c>
      <c r="O46" s="17">
        <v>833333.33333333337</v>
      </c>
      <c r="P46" s="17">
        <f t="shared" si="28"/>
        <v>-315568.08029787743</v>
      </c>
      <c r="Q46" s="28">
        <f t="shared" si="29"/>
        <v>-37.868169635745289</v>
      </c>
    </row>
    <row r="47" spans="3:17" x14ac:dyDescent="0.25">
      <c r="C47" s="14" t="s">
        <v>49</v>
      </c>
      <c r="D47" s="15">
        <v>98.562608865170233</v>
      </c>
      <c r="E47" s="18">
        <v>3.4482758620689653</v>
      </c>
      <c r="F47" s="19">
        <f t="shared" si="20"/>
        <v>339.87106505231111</v>
      </c>
      <c r="G47" s="19">
        <f t="shared" si="21"/>
        <v>2832258.875435926</v>
      </c>
      <c r="H47" s="19">
        <v>300</v>
      </c>
      <c r="I47" s="19">
        <f t="shared" si="22"/>
        <v>39.87106505231111</v>
      </c>
      <c r="J47" s="19">
        <f t="shared" si="23"/>
        <v>939.87106505231111</v>
      </c>
      <c r="K47" s="19">
        <f t="shared" si="24"/>
        <v>7832258.875435926</v>
      </c>
      <c r="L47" s="19">
        <f t="shared" si="25"/>
        <v>60.12893494768889</v>
      </c>
      <c r="M47" s="20">
        <f t="shared" si="26"/>
        <v>6.3975727292277327</v>
      </c>
      <c r="N47" s="19">
        <f t="shared" si="27"/>
        <v>501074.45789740741</v>
      </c>
      <c r="O47" s="17">
        <v>833333.33333333337</v>
      </c>
      <c r="P47" s="19">
        <f t="shared" si="28"/>
        <v>-332258.87543592596</v>
      </c>
      <c r="Q47" s="28">
        <f t="shared" si="29"/>
        <v>-39.87106505231111</v>
      </c>
    </row>
    <row r="48" spans="3:17" x14ac:dyDescent="0.25">
      <c r="C48" s="14" t="s">
        <v>50</v>
      </c>
      <c r="D48" s="16">
        <v>99.380884029761944</v>
      </c>
      <c r="E48" s="18">
        <v>3.4482758620689653</v>
      </c>
      <c r="F48" s="19">
        <f t="shared" si="20"/>
        <v>342.69270355090322</v>
      </c>
      <c r="G48" s="19">
        <f t="shared" si="21"/>
        <v>2855772.52959086</v>
      </c>
      <c r="H48" s="19">
        <v>300</v>
      </c>
      <c r="I48" s="19">
        <f t="shared" si="22"/>
        <v>42.692703550903218</v>
      </c>
      <c r="J48" s="19">
        <f t="shared" si="23"/>
        <v>942.69270355090316</v>
      </c>
      <c r="K48" s="19">
        <f t="shared" si="24"/>
        <v>7855772.52959086</v>
      </c>
      <c r="L48" s="19">
        <f t="shared" si="25"/>
        <v>57.307296449096839</v>
      </c>
      <c r="M48" s="20">
        <f t="shared" si="26"/>
        <v>6.0791068216857562</v>
      </c>
      <c r="N48" s="19">
        <f t="shared" si="27"/>
        <v>477560.80374247365</v>
      </c>
      <c r="O48" s="17">
        <v>833333.33333333337</v>
      </c>
      <c r="P48" s="19">
        <f t="shared" si="28"/>
        <v>-355772.52959085972</v>
      </c>
      <c r="Q48" s="28">
        <f t="shared" si="29"/>
        <v>-42.692703550903168</v>
      </c>
    </row>
    <row r="49" spans="3:17" x14ac:dyDescent="0.25">
      <c r="C49" s="14" t="s">
        <v>51</v>
      </c>
      <c r="D49" s="15">
        <v>99.729115429122317</v>
      </c>
      <c r="E49" s="18">
        <v>3.4482758620689653</v>
      </c>
      <c r="F49" s="19">
        <f t="shared" si="20"/>
        <v>343.89350147973209</v>
      </c>
      <c r="G49" s="19">
        <f t="shared" si="21"/>
        <v>2865779.1789977676</v>
      </c>
      <c r="H49" s="19">
        <v>300</v>
      </c>
      <c r="I49" s="19">
        <f t="shared" si="22"/>
        <v>43.893501479732095</v>
      </c>
      <c r="J49" s="19">
        <f t="shared" si="23"/>
        <v>943.89350147973209</v>
      </c>
      <c r="K49" s="19">
        <f t="shared" si="24"/>
        <v>7865779.1789977672</v>
      </c>
      <c r="L49" s="19">
        <f t="shared" si="25"/>
        <v>56.106498520267905</v>
      </c>
      <c r="M49" s="20">
        <f t="shared" si="26"/>
        <v>5.944155609961328</v>
      </c>
      <c r="N49" s="19">
        <f t="shared" si="27"/>
        <v>467554.15433556587</v>
      </c>
      <c r="O49" s="17">
        <v>833333.33333333337</v>
      </c>
      <c r="P49" s="17">
        <f t="shared" si="28"/>
        <v>-365779.17899776751</v>
      </c>
      <c r="Q49" s="28">
        <f t="shared" si="29"/>
        <v>-43.893501479732102</v>
      </c>
    </row>
    <row r="50" spans="3:17" x14ac:dyDescent="0.25">
      <c r="C50" s="14" t="s">
        <v>52</v>
      </c>
      <c r="D50" s="16">
        <v>99.86952683279857</v>
      </c>
      <c r="E50" s="18">
        <v>3.4482758620689653</v>
      </c>
      <c r="F50" s="19">
        <f t="shared" si="20"/>
        <v>344.37767873378817</v>
      </c>
      <c r="G50" s="19">
        <f t="shared" si="21"/>
        <v>2869813.9894482349</v>
      </c>
      <c r="H50" s="19">
        <v>300</v>
      </c>
      <c r="I50" s="19">
        <f t="shared" si="22"/>
        <v>44.377678733788173</v>
      </c>
      <c r="J50" s="19">
        <f t="shared" si="23"/>
        <v>944.37767873378812</v>
      </c>
      <c r="K50" s="19">
        <f t="shared" si="24"/>
        <v>7869813.9894482344</v>
      </c>
      <c r="L50" s="19">
        <f t="shared" si="25"/>
        <v>55.622321266211884</v>
      </c>
      <c r="M50" s="20">
        <f t="shared" si="26"/>
        <v>5.8898386226991004</v>
      </c>
      <c r="N50" s="19">
        <f t="shared" si="27"/>
        <v>463519.34388509905</v>
      </c>
      <c r="O50" s="17">
        <v>833333.33333333337</v>
      </c>
      <c r="P50" s="17">
        <f t="shared" si="28"/>
        <v>-369813.98944823432</v>
      </c>
      <c r="Q50" s="28">
        <f t="shared" si="29"/>
        <v>-44.377678733788116</v>
      </c>
    </row>
    <row r="51" spans="3:17" x14ac:dyDescent="0.25">
      <c r="C51" s="14" t="s">
        <v>53</v>
      </c>
      <c r="D51" s="15">
        <v>102.43120156867099</v>
      </c>
      <c r="E51" s="18">
        <v>3.4482758620689653</v>
      </c>
      <c r="F51" s="19">
        <f t="shared" si="20"/>
        <v>353.21103989196888</v>
      </c>
      <c r="G51" s="19">
        <f t="shared" si="21"/>
        <v>2943425.3324330742</v>
      </c>
      <c r="H51" s="19">
        <v>300</v>
      </c>
      <c r="I51" s="19">
        <f t="shared" si="22"/>
        <v>53.211039891968881</v>
      </c>
      <c r="J51" s="19">
        <f t="shared" si="23"/>
        <v>953.21103989196888</v>
      </c>
      <c r="K51" s="19">
        <f t="shared" si="24"/>
        <v>7943425.3324330738</v>
      </c>
      <c r="L51" s="19">
        <f t="shared" si="25"/>
        <v>46.788960108031119</v>
      </c>
      <c r="M51" s="20">
        <f t="shared" si="26"/>
        <v>4.9085625480516777</v>
      </c>
      <c r="N51" s="19">
        <f t="shared" si="27"/>
        <v>389908.0009002593</v>
      </c>
      <c r="O51" s="17">
        <v>833333.33333333337</v>
      </c>
      <c r="P51" s="17">
        <f t="shared" si="28"/>
        <v>-443425.33243307407</v>
      </c>
      <c r="Q51" s="28">
        <f t="shared" si="29"/>
        <v>-53.211039891968881</v>
      </c>
    </row>
    <row r="55" spans="3:17" x14ac:dyDescent="0.25">
      <c r="J55" s="32"/>
    </row>
  </sheetData>
  <mergeCells count="3">
    <mergeCell ref="D3:F3"/>
    <mergeCell ref="D20:F20"/>
    <mergeCell ref="E37:H37"/>
  </mergeCells>
  <conditionalFormatting sqref="P6:P21 P23:P38 P40:P51">
    <cfRule type="colorScale" priority="2">
      <colorScale>
        <cfvo type="min"/>
        <cfvo type="max"/>
        <color rgb="FFEC5800"/>
        <color rgb="FFFFEA81"/>
      </colorScale>
    </cfRule>
  </conditionalFormatting>
  <conditionalFormatting sqref="Q6:Q51">
    <cfRule type="colorScale" priority="1">
      <colorScale>
        <cfvo type="min"/>
        <cfvo type="max"/>
        <color rgb="FFEC5800"/>
        <color rgb="FFFFEA81"/>
      </colorScale>
    </cfRule>
  </conditionalFormatting>
  <pageMargins left="0.25" right="0.25" top="0.75" bottom="0.75" header="0.3" footer="0.3"/>
  <pageSetup scale="53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81699-ACB4-498C-83D5-5A1822830AA4}">
  <dimension ref="B3:O26"/>
  <sheetViews>
    <sheetView topLeftCell="A10" workbookViewId="0">
      <selection activeCell="N17" sqref="N17"/>
    </sheetView>
  </sheetViews>
  <sheetFormatPr defaultRowHeight="15" x14ac:dyDescent="0.25"/>
  <cols>
    <col min="2" max="2" width="8.7109375" bestFit="1" customWidth="1"/>
    <col min="3" max="3" width="10.5703125" bestFit="1" customWidth="1"/>
    <col min="4" max="4" width="12" bestFit="1" customWidth="1"/>
    <col min="5" max="5" width="8.42578125" bestFit="1" customWidth="1"/>
    <col min="6" max="6" width="12" customWidth="1"/>
    <col min="11" max="11" width="16.7109375" bestFit="1" customWidth="1"/>
  </cols>
  <sheetData>
    <row r="3" spans="2:15" x14ac:dyDescent="0.25">
      <c r="C3" s="41" t="s">
        <v>66</v>
      </c>
      <c r="D3" s="41"/>
      <c r="E3" s="41"/>
    </row>
    <row r="5" spans="2:15" x14ac:dyDescent="0.25">
      <c r="B5" s="21" t="s">
        <v>68</v>
      </c>
      <c r="C5" s="21" t="s">
        <v>61</v>
      </c>
      <c r="D5" s="21" t="s">
        <v>69</v>
      </c>
      <c r="E5" s="21" t="s">
        <v>91</v>
      </c>
      <c r="F5" s="30" t="s">
        <v>94</v>
      </c>
      <c r="H5" s="49" t="s">
        <v>96</v>
      </c>
      <c r="I5" s="49"/>
      <c r="J5" s="49"/>
      <c r="K5" s="19">
        <f>MIN(E6:E9)</f>
        <v>-634582.12008437561</v>
      </c>
    </row>
    <row r="6" spans="2:15" x14ac:dyDescent="0.25">
      <c r="B6" s="17">
        <v>1</v>
      </c>
      <c r="C6" s="19">
        <v>2500000</v>
      </c>
      <c r="D6" s="19">
        <f>SUM('Per Unit &amp; Monthly FX Impact'!N6:N8)</f>
        <v>1865417.8799156244</v>
      </c>
      <c r="E6" s="19">
        <f>D6-C6</f>
        <v>-634582.12008437561</v>
      </c>
      <c r="F6" s="31">
        <f>E6/C6</f>
        <v>-0.25383284803375022</v>
      </c>
      <c r="H6" s="49" t="s">
        <v>97</v>
      </c>
      <c r="I6" s="49"/>
      <c r="J6" s="49"/>
      <c r="K6" s="31">
        <f>MIN(F6:F9)</f>
        <v>-0.25383284803375022</v>
      </c>
    </row>
    <row r="7" spans="2:15" x14ac:dyDescent="0.25">
      <c r="B7" s="17">
        <v>2</v>
      </c>
      <c r="C7" s="19">
        <v>2500000</v>
      </c>
      <c r="D7" s="19">
        <f>SUM('Per Unit &amp; Monthly FX Impact'!N9:N11)</f>
        <v>1975998.5375226224</v>
      </c>
      <c r="E7" s="19">
        <f t="shared" ref="E7:E9" si="0">D7-C7</f>
        <v>-524001.46247737762</v>
      </c>
      <c r="F7" s="31">
        <f t="shared" ref="F7:F9" si="1">E7/C7</f>
        <v>-0.20960058499095105</v>
      </c>
      <c r="H7" s="50" t="s">
        <v>98</v>
      </c>
      <c r="I7" s="50"/>
      <c r="J7" s="50"/>
      <c r="K7" s="19">
        <f>AVERAGE(E6:E9)</f>
        <v>-497644.73306793609</v>
      </c>
    </row>
    <row r="8" spans="2:15" x14ac:dyDescent="0.25">
      <c r="B8" s="17">
        <v>3</v>
      </c>
      <c r="C8" s="19">
        <v>2500000</v>
      </c>
      <c r="D8" s="19">
        <f>SUM('Per Unit &amp; Monthly FX Impact'!N12:N14)</f>
        <v>2088284.6401102038</v>
      </c>
      <c r="E8" s="19">
        <f t="shared" si="0"/>
        <v>-411715.35988979624</v>
      </c>
      <c r="F8" s="31">
        <f t="shared" si="1"/>
        <v>-0.16468614395591849</v>
      </c>
      <c r="H8" s="50" t="s">
        <v>99</v>
      </c>
      <c r="I8" s="50"/>
      <c r="J8" s="50"/>
      <c r="K8" s="33">
        <f>AVERAGE(F6:F9)</f>
        <v>-0.19905789322717443</v>
      </c>
    </row>
    <row r="9" spans="2:15" x14ac:dyDescent="0.25">
      <c r="B9" s="17">
        <v>4</v>
      </c>
      <c r="C9" s="19">
        <v>2500000</v>
      </c>
      <c r="D9" s="19">
        <f>SUM('Per Unit &amp; Monthly FX Impact'!N15:N17)</f>
        <v>2079720.0101798051</v>
      </c>
      <c r="E9" s="19">
        <f t="shared" si="0"/>
        <v>-420279.9898201949</v>
      </c>
      <c r="F9" s="31">
        <f t="shared" si="1"/>
        <v>-0.16811199592807796</v>
      </c>
      <c r="H9" s="48" t="s">
        <v>103</v>
      </c>
      <c r="I9" s="48"/>
      <c r="J9" s="48"/>
      <c r="K9" s="32">
        <f>MAX(E6:E9)-MIN(E6:E9)</f>
        <v>222866.76019457937</v>
      </c>
    </row>
    <row r="12" spans="2:15" x14ac:dyDescent="0.25">
      <c r="C12" s="41" t="s">
        <v>65</v>
      </c>
      <c r="D12" s="41"/>
      <c r="E12" s="41"/>
    </row>
    <row r="14" spans="2:15" x14ac:dyDescent="0.25">
      <c r="B14" s="21" t="s">
        <v>68</v>
      </c>
      <c r="C14" s="21" t="s">
        <v>61</v>
      </c>
      <c r="D14" s="21" t="s">
        <v>69</v>
      </c>
      <c r="E14" s="21" t="s">
        <v>91</v>
      </c>
      <c r="F14" s="30" t="s">
        <v>94</v>
      </c>
      <c r="H14" s="49" t="s">
        <v>96</v>
      </c>
      <c r="I14" s="49"/>
      <c r="J14" s="49"/>
      <c r="K14" s="19">
        <f>MIN(E15:E18)</f>
        <v>-358345.7498167539</v>
      </c>
      <c r="O14" t="s">
        <v>106</v>
      </c>
    </row>
    <row r="15" spans="2:15" x14ac:dyDescent="0.25">
      <c r="B15" s="17">
        <v>1</v>
      </c>
      <c r="C15" s="19">
        <v>2500000</v>
      </c>
      <c r="D15" s="19">
        <f>SUM('Per Unit &amp; Monthly FX Impact'!N23:N25)</f>
        <v>2141654.2501832461</v>
      </c>
      <c r="E15" s="19">
        <f>D15-C15</f>
        <v>-358345.7498167539</v>
      </c>
      <c r="F15" s="31">
        <f>E15/C15</f>
        <v>-0.14333829992670155</v>
      </c>
      <c r="H15" s="49" t="s">
        <v>97</v>
      </c>
      <c r="I15" s="49"/>
      <c r="J15" s="49"/>
      <c r="K15" s="31">
        <f>MIN(F15:F18)</f>
        <v>-0.14333829992670155</v>
      </c>
    </row>
    <row r="16" spans="2:15" x14ac:dyDescent="0.25">
      <c r="B16" s="17">
        <v>2</v>
      </c>
      <c r="C16" s="19">
        <v>2500000</v>
      </c>
      <c r="D16" s="19">
        <f>SUM('Per Unit &amp; Monthly FX Impact'!N26:N28)</f>
        <v>2408774.3640714413</v>
      </c>
      <c r="E16" s="19">
        <f t="shared" ref="E16:E18" si="2">D16-C16</f>
        <v>-91225.635928558651</v>
      </c>
      <c r="F16" s="31">
        <f t="shared" ref="F16:F18" si="3">E16/C16</f>
        <v>-3.6490254371423461E-2</v>
      </c>
      <c r="H16" s="50" t="s">
        <v>98</v>
      </c>
      <c r="I16" s="50"/>
      <c r="J16" s="50"/>
      <c r="K16" s="19">
        <f>AVERAGE(E15:E18)</f>
        <v>17263.97525961115</v>
      </c>
    </row>
    <row r="17" spans="2:13" x14ac:dyDescent="0.25">
      <c r="B17" s="17">
        <v>3</v>
      </c>
      <c r="C17" s="19">
        <v>2500000</v>
      </c>
      <c r="D17" s="19">
        <f>SUM('Per Unit &amp; Monthly FX Impact'!N29:N31)</f>
        <v>2680168.7655450716</v>
      </c>
      <c r="E17" s="19">
        <f t="shared" si="2"/>
        <v>180168.76554507157</v>
      </c>
      <c r="F17" s="31">
        <f t="shared" si="3"/>
        <v>7.2067506218028626E-2</v>
      </c>
      <c r="H17" s="50" t="s">
        <v>99</v>
      </c>
      <c r="I17" s="50"/>
      <c r="J17" s="50"/>
      <c r="K17" s="33">
        <f>AVERAGE(F15:F18)</f>
        <v>6.9055901038444639E-3</v>
      </c>
      <c r="M17" s="32"/>
    </row>
    <row r="18" spans="2:13" x14ac:dyDescent="0.25">
      <c r="B18" s="17">
        <v>4</v>
      </c>
      <c r="C18" s="19">
        <v>2500000</v>
      </c>
      <c r="D18" s="19">
        <f>SUM('Per Unit &amp; Monthly FX Impact'!N32:N34)</f>
        <v>2838458.5212386856</v>
      </c>
      <c r="E18" s="19">
        <f t="shared" si="2"/>
        <v>338458.52123868559</v>
      </c>
      <c r="F18" s="31">
        <f t="shared" si="3"/>
        <v>0.13538340849547423</v>
      </c>
      <c r="H18" s="48" t="s">
        <v>103</v>
      </c>
      <c r="I18" s="48"/>
      <c r="J18" s="48"/>
      <c r="K18" s="32">
        <f>MAX(E15:E18)-MIN(E15:E18)</f>
        <v>696804.27105543949</v>
      </c>
    </row>
    <row r="20" spans="2:13" x14ac:dyDescent="0.25">
      <c r="C20" s="41" t="s">
        <v>67</v>
      </c>
      <c r="D20" s="41"/>
      <c r="E20" s="41"/>
    </row>
    <row r="22" spans="2:13" x14ac:dyDescent="0.25">
      <c r="B22" s="21" t="s">
        <v>68</v>
      </c>
      <c r="C22" s="21" t="s">
        <v>61</v>
      </c>
      <c r="D22" s="21" t="s">
        <v>69</v>
      </c>
      <c r="E22" s="21" t="s">
        <v>91</v>
      </c>
      <c r="F22" s="30" t="s">
        <v>94</v>
      </c>
      <c r="H22" s="49" t="s">
        <v>96</v>
      </c>
      <c r="I22" s="49"/>
      <c r="J22" s="49"/>
      <c r="K22" s="19">
        <f>MIN(E23:E26)</f>
        <v>-1179018.5008790758</v>
      </c>
    </row>
    <row r="23" spans="2:13" x14ac:dyDescent="0.25">
      <c r="B23" s="17">
        <v>1</v>
      </c>
      <c r="C23" s="19">
        <v>2500000</v>
      </c>
      <c r="D23" s="19">
        <f>SUM('Per Unit &amp; Monthly FX Impact'!N40:N42)</f>
        <v>1589181.5096480043</v>
      </c>
      <c r="E23" s="19">
        <f>D23-C23</f>
        <v>-910818.49035199569</v>
      </c>
      <c r="F23" s="31">
        <f>E23/C23</f>
        <v>-0.36432739614079829</v>
      </c>
      <c r="H23" s="49" t="s">
        <v>97</v>
      </c>
      <c r="I23" s="49"/>
      <c r="J23" s="49"/>
      <c r="K23" s="31">
        <f>MIN(F23:F26)</f>
        <v>-0.47160740035163035</v>
      </c>
    </row>
    <row r="24" spans="2:13" x14ac:dyDescent="0.25">
      <c r="B24" s="17">
        <v>2</v>
      </c>
      <c r="C24" s="19">
        <v>2500000</v>
      </c>
      <c r="D24" s="19">
        <f>SUM('Per Unit &amp; Monthly FX Impact'!N43:N45)</f>
        <v>1543222.7109738041</v>
      </c>
      <c r="E24" s="19">
        <f t="shared" ref="E24:E26" si="4">D24-C24</f>
        <v>-956777.28902619588</v>
      </c>
      <c r="F24" s="31">
        <f t="shared" ref="F24:F26" si="5">E24/C24</f>
        <v>-0.38271091561047837</v>
      </c>
      <c r="H24" s="50" t="s">
        <v>98</v>
      </c>
      <c r="I24" s="50"/>
      <c r="J24" s="50"/>
      <c r="K24" s="19">
        <f>AVERAGE(E23:E26)</f>
        <v>-1012553.4413954826</v>
      </c>
    </row>
    <row r="25" spans="2:13" x14ac:dyDescent="0.25">
      <c r="B25" s="17">
        <v>3</v>
      </c>
      <c r="C25" s="19">
        <v>2500000</v>
      </c>
      <c r="D25" s="19">
        <f>SUM('Per Unit &amp; Monthly FX Impact'!N46:N48)</f>
        <v>1496400.5146753371</v>
      </c>
      <c r="E25" s="19">
        <f t="shared" si="4"/>
        <v>-1003599.4853246629</v>
      </c>
      <c r="F25" s="31">
        <f t="shared" si="5"/>
        <v>-0.40143979412986514</v>
      </c>
      <c r="H25" s="50" t="s">
        <v>99</v>
      </c>
      <c r="I25" s="50"/>
      <c r="J25" s="50"/>
      <c r="K25" s="33">
        <f>AVERAGE(F23:F26)</f>
        <v>-0.40502137655819304</v>
      </c>
    </row>
    <row r="26" spans="2:13" x14ac:dyDescent="0.25">
      <c r="B26" s="17">
        <v>4</v>
      </c>
      <c r="C26" s="19">
        <v>2500000</v>
      </c>
      <c r="D26" s="19">
        <f>SUM('Per Unit &amp; Monthly FX Impact'!N49:N51)</f>
        <v>1320981.4991209242</v>
      </c>
      <c r="E26" s="19">
        <f t="shared" si="4"/>
        <v>-1179018.5008790758</v>
      </c>
      <c r="F26" s="31">
        <f t="shared" si="5"/>
        <v>-0.47160740035163035</v>
      </c>
      <c r="H26" s="48" t="s">
        <v>103</v>
      </c>
      <c r="I26" s="48"/>
      <c r="J26" s="48"/>
      <c r="K26" s="32">
        <f>MAX(E23:E26)-MIN(E23:E26)</f>
        <v>268200.01052708016</v>
      </c>
    </row>
  </sheetData>
  <mergeCells count="18">
    <mergeCell ref="H9:J9"/>
    <mergeCell ref="H18:J18"/>
    <mergeCell ref="C3:E3"/>
    <mergeCell ref="C12:E12"/>
    <mergeCell ref="C20:E20"/>
    <mergeCell ref="H5:J5"/>
    <mergeCell ref="H7:J7"/>
    <mergeCell ref="H8:J8"/>
    <mergeCell ref="H6:J6"/>
    <mergeCell ref="H14:J14"/>
    <mergeCell ref="H15:J15"/>
    <mergeCell ref="H16:J16"/>
    <mergeCell ref="H17:J17"/>
    <mergeCell ref="H26:J26"/>
    <mergeCell ref="H22:J22"/>
    <mergeCell ref="H23:J23"/>
    <mergeCell ref="H24:J24"/>
    <mergeCell ref="H25:J25"/>
  </mergeCells>
  <conditionalFormatting sqref="E15:E18">
    <cfRule type="colorScale" priority="6">
      <colorScale>
        <cfvo type="min"/>
        <cfvo type="max"/>
        <color rgb="FFEC5800"/>
        <color rgb="FFFFC000"/>
      </colorScale>
    </cfRule>
  </conditionalFormatting>
  <conditionalFormatting sqref="F15:F18">
    <cfRule type="colorScale" priority="5">
      <colorScale>
        <cfvo type="min"/>
        <cfvo type="max"/>
        <color rgb="FFEC5800"/>
        <color rgb="FFFFC000"/>
      </colorScale>
    </cfRule>
  </conditionalFormatting>
  <conditionalFormatting sqref="E23:E26">
    <cfRule type="colorScale" priority="4">
      <colorScale>
        <cfvo type="min"/>
        <cfvo type="max"/>
        <color rgb="FFEC5800"/>
        <color rgb="FFFFC000"/>
      </colorScale>
    </cfRule>
  </conditionalFormatting>
  <conditionalFormatting sqref="F23:F26">
    <cfRule type="colorScale" priority="3">
      <colorScale>
        <cfvo type="min"/>
        <cfvo type="max"/>
        <color rgb="FFEC5800"/>
        <color rgb="FFFFC000"/>
      </colorScale>
    </cfRule>
  </conditionalFormatting>
  <conditionalFormatting sqref="E6:E9">
    <cfRule type="colorScale" priority="2">
      <colorScale>
        <cfvo type="min"/>
        <cfvo type="max"/>
        <color rgb="FFEC5800"/>
        <color rgb="FFFFC000"/>
      </colorScale>
    </cfRule>
  </conditionalFormatting>
  <conditionalFormatting sqref="F6:F9">
    <cfRule type="colorScale" priority="1">
      <colorScale>
        <cfvo type="min"/>
        <cfvo type="max"/>
        <color rgb="FFEC5800"/>
        <color rgb="FFFFC000"/>
      </colorScale>
    </cfRule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74DCC-40FE-450B-8F87-B336D0C74BBE}">
  <dimension ref="B3:V51"/>
  <sheetViews>
    <sheetView topLeftCell="B1" zoomScale="68" zoomScaleNormal="68" workbookViewId="0">
      <selection activeCell="P16" sqref="P16"/>
    </sheetView>
  </sheetViews>
  <sheetFormatPr defaultRowHeight="15" x14ac:dyDescent="0.25"/>
  <cols>
    <col min="2" max="2" width="8.85546875" bestFit="1" customWidth="1"/>
    <col min="3" max="3" width="18.140625" bestFit="1" customWidth="1"/>
    <col min="4" max="4" width="22.85546875" bestFit="1" customWidth="1"/>
    <col min="5" max="5" width="22.85546875" style="24" customWidth="1"/>
    <col min="6" max="6" width="16.28515625" bestFit="1" customWidth="1"/>
    <col min="7" max="7" width="14.5703125" bestFit="1" customWidth="1"/>
    <col min="8" max="8" width="16.28515625" bestFit="1" customWidth="1"/>
    <col min="10" max="10" width="14.7109375" bestFit="1" customWidth="1"/>
    <col min="11" max="11" width="14.7109375" style="24" customWidth="1"/>
    <col min="12" max="12" width="17.28515625" bestFit="1" customWidth="1"/>
    <col min="13" max="13" width="17.28515625" style="24" customWidth="1"/>
  </cols>
  <sheetData>
    <row r="3" spans="2:22" x14ac:dyDescent="0.25">
      <c r="C3" s="45" t="s">
        <v>66</v>
      </c>
      <c r="D3" s="46"/>
      <c r="E3" s="47"/>
      <c r="Q3" s="41" t="s">
        <v>88</v>
      </c>
      <c r="R3" s="41"/>
      <c r="S3" s="41"/>
      <c r="T3" s="41"/>
      <c r="U3" s="41"/>
      <c r="V3" s="41"/>
    </row>
    <row r="5" spans="2:22" x14ac:dyDescent="0.25">
      <c r="B5" s="13" t="s">
        <v>40</v>
      </c>
      <c r="C5" s="13" t="s">
        <v>41</v>
      </c>
      <c r="D5" s="17" t="s">
        <v>54</v>
      </c>
      <c r="E5" s="17" t="s">
        <v>71</v>
      </c>
      <c r="F5" s="17" t="s">
        <v>72</v>
      </c>
      <c r="G5" s="25" t="s">
        <v>84</v>
      </c>
      <c r="H5" s="25" t="s">
        <v>73</v>
      </c>
      <c r="I5" s="25" t="s">
        <v>32</v>
      </c>
      <c r="J5" s="25" t="s">
        <v>76</v>
      </c>
      <c r="K5" s="25" t="s">
        <v>83</v>
      </c>
      <c r="L5" s="25" t="s">
        <v>82</v>
      </c>
      <c r="M5" s="25" t="s">
        <v>81</v>
      </c>
      <c r="N5" s="25" t="s">
        <v>75</v>
      </c>
      <c r="Q5" s="25" t="s">
        <v>76</v>
      </c>
      <c r="R5" s="25" t="s">
        <v>82</v>
      </c>
      <c r="S5" s="25" t="s">
        <v>75</v>
      </c>
    </row>
    <row r="6" spans="2:22" x14ac:dyDescent="0.25">
      <c r="B6" s="14" t="s">
        <v>42</v>
      </c>
      <c r="C6" s="16">
        <v>93.72823434312788</v>
      </c>
      <c r="D6" s="18">
        <v>3.4482758620689653</v>
      </c>
      <c r="E6" s="18">
        <f>D6*50/100</f>
        <v>1.7241379310344827</v>
      </c>
      <c r="F6" s="26">
        <f>E6*88</f>
        <v>151.72413793103448</v>
      </c>
      <c r="G6" s="26">
        <f>E6*C6</f>
        <v>161.60040403987566</v>
      </c>
      <c r="H6" s="26">
        <f>F6+G6</f>
        <v>313.3245419709101</v>
      </c>
      <c r="I6" s="26">
        <f>H6+600</f>
        <v>913.3245419709101</v>
      </c>
      <c r="J6" s="19">
        <f>1000-I6</f>
        <v>86.675458029089896</v>
      </c>
      <c r="K6" s="20">
        <f>J6/1000*100</f>
        <v>8.6675458029089896</v>
      </c>
      <c r="L6" s="19">
        <v>76.799191920248632</v>
      </c>
      <c r="M6" s="20">
        <v>8.3187960027884067</v>
      </c>
      <c r="N6" s="19">
        <f>J6-L6</f>
        <v>9.8762661088412642</v>
      </c>
      <c r="Q6" s="19">
        <v>86.675458029089896</v>
      </c>
      <c r="R6" s="19">
        <v>76.799191920248632</v>
      </c>
      <c r="S6" s="19">
        <v>9.8762661088412642</v>
      </c>
    </row>
    <row r="7" spans="2:22" x14ac:dyDescent="0.25">
      <c r="B7" s="14" t="s">
        <v>43</v>
      </c>
      <c r="C7" s="15">
        <v>95.227098162810435</v>
      </c>
      <c r="D7" s="18">
        <v>3.4482758620689653</v>
      </c>
      <c r="E7" s="18">
        <f t="shared" ref="E7:E17" si="0">D7*50/100</f>
        <v>1.7241379310344827</v>
      </c>
      <c r="F7" s="26">
        <f t="shared" ref="F7:F17" si="1">E7*88</f>
        <v>151.72413793103448</v>
      </c>
      <c r="G7" s="26">
        <f t="shared" ref="G7:G17" si="2">E7*C7</f>
        <v>164.18465200484556</v>
      </c>
      <c r="H7" s="26">
        <f t="shared" ref="H7:H17" si="3">F7+G7</f>
        <v>315.90878993588001</v>
      </c>
      <c r="I7" s="26">
        <f t="shared" ref="I7:I17" si="4">H7+600</f>
        <v>915.90878993588001</v>
      </c>
      <c r="J7" s="19">
        <f t="shared" ref="J7:J17" si="5">1000-I7</f>
        <v>84.091210064119991</v>
      </c>
      <c r="K7" s="20">
        <f t="shared" ref="K7:K17" si="6">J7/1000*100</f>
        <v>8.4091210064119988</v>
      </c>
      <c r="L7" s="19">
        <v>71.630695990308823</v>
      </c>
      <c r="M7" s="20">
        <v>7.7157544611751918</v>
      </c>
      <c r="N7" s="19">
        <f t="shared" ref="N7:N17" si="7">J7-L7</f>
        <v>12.460514073811169</v>
      </c>
      <c r="Q7" s="19">
        <v>84.091210064119991</v>
      </c>
      <c r="R7" s="19">
        <v>71.630695990308823</v>
      </c>
      <c r="S7" s="19">
        <v>12.460514073811169</v>
      </c>
    </row>
    <row r="8" spans="2:22" x14ac:dyDescent="0.25">
      <c r="B8" s="14" t="s">
        <v>44</v>
      </c>
      <c r="C8" s="16">
        <v>94.128125272997934</v>
      </c>
      <c r="D8" s="18">
        <v>3.4482758620689653</v>
      </c>
      <c r="E8" s="18">
        <f t="shared" si="0"/>
        <v>1.7241379310344827</v>
      </c>
      <c r="F8" s="26">
        <f t="shared" si="1"/>
        <v>151.72413793103448</v>
      </c>
      <c r="G8" s="26">
        <f t="shared" si="2"/>
        <v>162.28987116034125</v>
      </c>
      <c r="H8" s="26">
        <f t="shared" si="3"/>
        <v>314.01400909137573</v>
      </c>
      <c r="I8" s="26">
        <f t="shared" si="4"/>
        <v>914.01400909137578</v>
      </c>
      <c r="J8" s="19">
        <f t="shared" si="5"/>
        <v>85.985990908624217</v>
      </c>
      <c r="K8" s="20">
        <f t="shared" si="6"/>
        <v>8.5985990908624217</v>
      </c>
      <c r="L8" s="19">
        <v>75.420257679317501</v>
      </c>
      <c r="M8" s="20">
        <v>8.1572474744053647</v>
      </c>
      <c r="N8" s="19">
        <f t="shared" si="7"/>
        <v>10.565733229306716</v>
      </c>
      <c r="Q8" s="19">
        <v>85.985990908624217</v>
      </c>
      <c r="R8" s="19">
        <v>75.420257679317501</v>
      </c>
      <c r="S8" s="19">
        <v>10.565733229306716</v>
      </c>
    </row>
    <row r="9" spans="2:22" x14ac:dyDescent="0.25">
      <c r="B9" s="14" t="s">
        <v>45</v>
      </c>
      <c r="C9" s="15">
        <v>92.947736275707243</v>
      </c>
      <c r="D9" s="18">
        <v>3.4482758620689653</v>
      </c>
      <c r="E9" s="18">
        <f t="shared" si="0"/>
        <v>1.7241379310344827</v>
      </c>
      <c r="F9" s="26">
        <f t="shared" si="1"/>
        <v>151.72413793103448</v>
      </c>
      <c r="G9" s="26">
        <f t="shared" si="2"/>
        <v>160.25471771673662</v>
      </c>
      <c r="H9" s="26">
        <f t="shared" si="3"/>
        <v>311.97885564777107</v>
      </c>
      <c r="I9" s="26">
        <f t="shared" si="4"/>
        <v>911.97885564777107</v>
      </c>
      <c r="J9" s="19">
        <f t="shared" si="5"/>
        <v>88.02114435222893</v>
      </c>
      <c r="K9" s="20">
        <f t="shared" si="6"/>
        <v>8.8021144352228937</v>
      </c>
      <c r="L9" s="19">
        <v>79.4905645665267</v>
      </c>
      <c r="M9" s="20">
        <v>8.6354969875017229</v>
      </c>
      <c r="N9" s="19">
        <f t="shared" si="7"/>
        <v>8.5305797857022299</v>
      </c>
      <c r="Q9" s="19">
        <v>88.02114435222893</v>
      </c>
      <c r="R9" s="19">
        <v>79.4905645665267</v>
      </c>
      <c r="S9" s="19">
        <v>8.5305797857022299</v>
      </c>
    </row>
    <row r="10" spans="2:22" x14ac:dyDescent="0.25">
      <c r="B10" s="14" t="s">
        <v>46</v>
      </c>
      <c r="C10" s="16">
        <v>92.907176828708685</v>
      </c>
      <c r="D10" s="18">
        <v>3.4482758620689653</v>
      </c>
      <c r="E10" s="18">
        <f t="shared" si="0"/>
        <v>1.7241379310344827</v>
      </c>
      <c r="F10" s="26">
        <f t="shared" si="1"/>
        <v>151.72413793103448</v>
      </c>
      <c r="G10" s="26">
        <f t="shared" si="2"/>
        <v>160.18478763570462</v>
      </c>
      <c r="H10" s="26">
        <f t="shared" si="3"/>
        <v>311.90892556673907</v>
      </c>
      <c r="I10" s="26">
        <f t="shared" si="4"/>
        <v>911.90892556673907</v>
      </c>
      <c r="J10" s="19">
        <f t="shared" si="5"/>
        <v>88.091074433260928</v>
      </c>
      <c r="K10" s="20">
        <f t="shared" si="6"/>
        <v>8.8091074433260932</v>
      </c>
      <c r="L10" s="19">
        <v>79.630424728590697</v>
      </c>
      <c r="M10" s="20">
        <v>8.6520053322175876</v>
      </c>
      <c r="N10" s="19">
        <f t="shared" si="7"/>
        <v>8.4606497046702316</v>
      </c>
      <c r="Q10" s="19">
        <v>88.091074433260928</v>
      </c>
      <c r="R10" s="19">
        <v>79.630424728590697</v>
      </c>
      <c r="S10" s="19">
        <v>8.4606497046702316</v>
      </c>
    </row>
    <row r="11" spans="2:22" x14ac:dyDescent="0.25">
      <c r="B11" s="14" t="s">
        <v>47</v>
      </c>
      <c r="C11" s="15">
        <v>93.380337789796812</v>
      </c>
      <c r="D11" s="18">
        <v>3.4482758620689653</v>
      </c>
      <c r="E11" s="18">
        <f t="shared" si="0"/>
        <v>1.7241379310344827</v>
      </c>
      <c r="F11" s="26">
        <f t="shared" si="1"/>
        <v>151.72413793103448</v>
      </c>
      <c r="G11" s="26">
        <f t="shared" si="2"/>
        <v>161.00058239620139</v>
      </c>
      <c r="H11" s="26">
        <f t="shared" si="3"/>
        <v>312.7247203272359</v>
      </c>
      <c r="I11" s="26">
        <f t="shared" si="4"/>
        <v>912.7247203272359</v>
      </c>
      <c r="J11" s="19">
        <f t="shared" si="5"/>
        <v>87.2752796727641</v>
      </c>
      <c r="K11" s="20">
        <f t="shared" si="6"/>
        <v>8.7275279672764103</v>
      </c>
      <c r="L11" s="19">
        <v>77.998835207597267</v>
      </c>
      <c r="M11" s="20">
        <v>8.459732827469848</v>
      </c>
      <c r="N11" s="19">
        <f t="shared" si="7"/>
        <v>9.2764444651668327</v>
      </c>
      <c r="Q11" s="19">
        <v>87.2752796727641</v>
      </c>
      <c r="R11" s="19">
        <v>77.998835207597267</v>
      </c>
      <c r="S11" s="19">
        <v>9.2764444651668327</v>
      </c>
    </row>
    <row r="12" spans="2:22" x14ac:dyDescent="0.25">
      <c r="B12" s="14" t="s">
        <v>48</v>
      </c>
      <c r="C12" s="16">
        <v>91.7428241242703</v>
      </c>
      <c r="D12" s="18">
        <v>3.4482758620689653</v>
      </c>
      <c r="E12" s="18">
        <f t="shared" si="0"/>
        <v>1.7241379310344827</v>
      </c>
      <c r="F12" s="26">
        <f t="shared" si="1"/>
        <v>151.72413793103448</v>
      </c>
      <c r="G12" s="26">
        <f t="shared" si="2"/>
        <v>158.17728297287982</v>
      </c>
      <c r="H12" s="26">
        <f t="shared" si="3"/>
        <v>309.9014209039143</v>
      </c>
      <c r="I12" s="26">
        <f t="shared" si="4"/>
        <v>909.9014209039143</v>
      </c>
      <c r="J12" s="19">
        <f t="shared" si="5"/>
        <v>90.0985790960857</v>
      </c>
      <c r="K12" s="20">
        <f t="shared" si="6"/>
        <v>9.00985790960857</v>
      </c>
      <c r="L12" s="19">
        <v>83.645434054240354</v>
      </c>
      <c r="M12" s="20">
        <v>9.1280643064086</v>
      </c>
      <c r="N12" s="19">
        <f t="shared" si="7"/>
        <v>6.453145041845346</v>
      </c>
      <c r="Q12" s="19">
        <v>90.0985790960857</v>
      </c>
      <c r="R12" s="19">
        <v>83.645434054240354</v>
      </c>
      <c r="S12" s="19">
        <v>6.453145041845346</v>
      </c>
    </row>
    <row r="13" spans="2:22" x14ac:dyDescent="0.25">
      <c r="B13" s="14" t="s">
        <v>49</v>
      </c>
      <c r="C13" s="15">
        <v>91.700210157630011</v>
      </c>
      <c r="D13" s="18">
        <v>3.4482758620689653</v>
      </c>
      <c r="E13" s="18">
        <f t="shared" si="0"/>
        <v>1.7241379310344827</v>
      </c>
      <c r="F13" s="26">
        <f t="shared" si="1"/>
        <v>151.72413793103448</v>
      </c>
      <c r="G13" s="26">
        <f t="shared" si="2"/>
        <v>158.10381061660345</v>
      </c>
      <c r="H13" s="26">
        <f t="shared" si="3"/>
        <v>309.8279485476379</v>
      </c>
      <c r="I13" s="26">
        <f t="shared" si="4"/>
        <v>909.8279485476379</v>
      </c>
      <c r="J13" s="19">
        <f t="shared" si="5"/>
        <v>90.172051452362098</v>
      </c>
      <c r="K13" s="20">
        <f t="shared" si="6"/>
        <v>9.0172051452362094</v>
      </c>
      <c r="L13" s="19">
        <v>83.792378766793036</v>
      </c>
      <c r="M13" s="20">
        <v>9.1455666625005012</v>
      </c>
      <c r="N13" s="19">
        <f t="shared" si="7"/>
        <v>6.3796726855690622</v>
      </c>
      <c r="Q13" s="19">
        <v>90.172051452362098</v>
      </c>
      <c r="R13" s="19">
        <v>83.792378766793036</v>
      </c>
      <c r="S13" s="19">
        <v>6.3796726855690622</v>
      </c>
    </row>
    <row r="14" spans="2:22" x14ac:dyDescent="0.25">
      <c r="B14" s="14" t="s">
        <v>50</v>
      </c>
      <c r="C14" s="16">
        <v>91.884660242264587</v>
      </c>
      <c r="D14" s="18">
        <v>3.4482758620689653</v>
      </c>
      <c r="E14" s="18">
        <f t="shared" si="0"/>
        <v>1.7241379310344827</v>
      </c>
      <c r="F14" s="26">
        <f t="shared" si="1"/>
        <v>151.72413793103448</v>
      </c>
      <c r="G14" s="26">
        <f t="shared" si="2"/>
        <v>158.42182800390444</v>
      </c>
      <c r="H14" s="26">
        <f t="shared" si="3"/>
        <v>310.14596593493889</v>
      </c>
      <c r="I14" s="26">
        <f t="shared" si="4"/>
        <v>910.14596593493889</v>
      </c>
      <c r="J14" s="19">
        <f t="shared" si="5"/>
        <v>89.854034065061114</v>
      </c>
      <c r="K14" s="20">
        <f t="shared" si="6"/>
        <v>8.9854034065061104</v>
      </c>
      <c r="L14" s="19">
        <v>83.156343992191069</v>
      </c>
      <c r="M14" s="20">
        <v>9.0698499626726772</v>
      </c>
      <c r="N14" s="19">
        <f t="shared" si="7"/>
        <v>6.6976900728700457</v>
      </c>
      <c r="Q14" s="19">
        <v>89.854034065061114</v>
      </c>
      <c r="R14" s="19">
        <v>83.156343992191069</v>
      </c>
      <c r="S14" s="19">
        <v>6.6976900728700457</v>
      </c>
    </row>
    <row r="15" spans="2:22" x14ac:dyDescent="0.25">
      <c r="B15" s="14" t="s">
        <v>51</v>
      </c>
      <c r="C15" s="15">
        <v>91.588020847296278</v>
      </c>
      <c r="D15" s="18">
        <v>3.4482758620689653</v>
      </c>
      <c r="E15" s="18">
        <f t="shared" si="0"/>
        <v>1.7241379310344827</v>
      </c>
      <c r="F15" s="26">
        <f t="shared" si="1"/>
        <v>151.72413793103448</v>
      </c>
      <c r="G15" s="26">
        <f t="shared" si="2"/>
        <v>157.91038077120047</v>
      </c>
      <c r="H15" s="26">
        <f t="shared" si="3"/>
        <v>309.63451870223491</v>
      </c>
      <c r="I15" s="26">
        <f t="shared" si="4"/>
        <v>909.63451870223491</v>
      </c>
      <c r="J15" s="19">
        <f t="shared" si="5"/>
        <v>90.365481297765086</v>
      </c>
      <c r="K15" s="20">
        <f t="shared" si="6"/>
        <v>9.0365481297765093</v>
      </c>
      <c r="L15" s="19">
        <v>84.179238457599013</v>
      </c>
      <c r="M15" s="20">
        <v>9.1916717760172393</v>
      </c>
      <c r="N15" s="19">
        <f t="shared" si="7"/>
        <v>6.1862428401660736</v>
      </c>
      <c r="Q15" s="19">
        <v>90.365481297765086</v>
      </c>
      <c r="R15" s="19">
        <v>84.179238457599013</v>
      </c>
      <c r="S15" s="19">
        <v>6.1862428401660736</v>
      </c>
    </row>
    <row r="16" spans="2:22" x14ac:dyDescent="0.25">
      <c r="B16" s="14" t="s">
        <v>52</v>
      </c>
      <c r="C16" s="16">
        <v>91.072079133333233</v>
      </c>
      <c r="D16" s="18">
        <v>3.4482758620689653</v>
      </c>
      <c r="E16" s="18">
        <f t="shared" si="0"/>
        <v>1.7241379310344827</v>
      </c>
      <c r="F16" s="26">
        <f t="shared" si="1"/>
        <v>151.72413793103448</v>
      </c>
      <c r="G16" s="26">
        <f t="shared" si="2"/>
        <v>157.02082609195384</v>
      </c>
      <c r="H16" s="26">
        <f t="shared" si="3"/>
        <v>308.74496402298831</v>
      </c>
      <c r="I16" s="26">
        <f t="shared" si="4"/>
        <v>908.74496402298837</v>
      </c>
      <c r="J16" s="19">
        <f t="shared" si="5"/>
        <v>91.25503597701163</v>
      </c>
      <c r="K16" s="20">
        <f t="shared" si="6"/>
        <v>9.1255035977011634</v>
      </c>
      <c r="L16" s="19">
        <v>85.958347816092328</v>
      </c>
      <c r="M16" s="20">
        <v>9.4042046782784112</v>
      </c>
      <c r="N16" s="19">
        <f t="shared" si="7"/>
        <v>5.2966881609193024</v>
      </c>
      <c r="Q16" s="19">
        <v>91.25503597701163</v>
      </c>
      <c r="R16" s="19">
        <v>85.958347816092328</v>
      </c>
      <c r="S16" s="19">
        <v>5.2966881609193024</v>
      </c>
    </row>
    <row r="17" spans="2:21" x14ac:dyDescent="0.25">
      <c r="B17" s="14" t="s">
        <v>53</v>
      </c>
      <c r="C17" s="15">
        <v>92.965643665113305</v>
      </c>
      <c r="D17" s="18">
        <v>3.4482758620689653</v>
      </c>
      <c r="E17" s="18">
        <f t="shared" si="0"/>
        <v>1.7241379310344827</v>
      </c>
      <c r="F17" s="26">
        <f t="shared" si="1"/>
        <v>151.72413793103448</v>
      </c>
      <c r="G17" s="26">
        <f t="shared" si="2"/>
        <v>160.2855925260574</v>
      </c>
      <c r="H17" s="26">
        <f t="shared" si="3"/>
        <v>312.00973045709191</v>
      </c>
      <c r="I17" s="26">
        <f t="shared" si="4"/>
        <v>912.00973045709191</v>
      </c>
      <c r="J17" s="19">
        <f t="shared" si="5"/>
        <v>87.990269542908095</v>
      </c>
      <c r="K17" s="20">
        <f t="shared" si="6"/>
        <v>8.7990269542908095</v>
      </c>
      <c r="L17" s="19">
        <v>79.428814947885257</v>
      </c>
      <c r="M17" s="20">
        <v>8.6282099893653186</v>
      </c>
      <c r="N17" s="19">
        <f t="shared" si="7"/>
        <v>8.5614545950228376</v>
      </c>
      <c r="Q17" s="19">
        <v>87.990269542908095</v>
      </c>
      <c r="R17" s="19">
        <v>79.428814947885257</v>
      </c>
      <c r="S17" s="19">
        <v>8.5614545950228376</v>
      </c>
    </row>
    <row r="20" spans="2:21" x14ac:dyDescent="0.25">
      <c r="C20" s="41" t="s">
        <v>65</v>
      </c>
      <c r="D20" s="41"/>
      <c r="E20" s="41"/>
      <c r="Q20" s="41" t="s">
        <v>89</v>
      </c>
      <c r="R20" s="41"/>
      <c r="S20" s="41"/>
      <c r="T20" s="41"/>
      <c r="U20" s="41"/>
    </row>
    <row r="22" spans="2:21" x14ac:dyDescent="0.25">
      <c r="B22" s="13" t="s">
        <v>40</v>
      </c>
      <c r="C22" s="13" t="s">
        <v>41</v>
      </c>
      <c r="D22" s="17" t="s">
        <v>54</v>
      </c>
      <c r="E22" s="17" t="s">
        <v>71</v>
      </c>
      <c r="F22" s="17" t="s">
        <v>72</v>
      </c>
      <c r="G22" s="25" t="s">
        <v>84</v>
      </c>
      <c r="H22" s="25" t="s">
        <v>73</v>
      </c>
      <c r="I22" s="25" t="s">
        <v>32</v>
      </c>
      <c r="J22" s="25" t="s">
        <v>76</v>
      </c>
      <c r="K22" s="25" t="s">
        <v>83</v>
      </c>
      <c r="L22" s="25" t="s">
        <v>82</v>
      </c>
      <c r="M22" s="25" t="s">
        <v>81</v>
      </c>
      <c r="N22" s="25" t="s">
        <v>75</v>
      </c>
      <c r="Q22" s="25" t="s">
        <v>76</v>
      </c>
      <c r="R22" s="25" t="s">
        <v>82</v>
      </c>
      <c r="S22" s="25" t="s">
        <v>75</v>
      </c>
    </row>
    <row r="23" spans="2:21" x14ac:dyDescent="0.25">
      <c r="B23" s="14" t="s">
        <v>42</v>
      </c>
      <c r="C23" s="16">
        <v>91.143532044045742</v>
      </c>
      <c r="D23" s="18">
        <v>3.4482758620689653</v>
      </c>
      <c r="E23" s="18">
        <f>D23*50/100</f>
        <v>1.7241379310344827</v>
      </c>
      <c r="F23" s="26">
        <f>E23*88</f>
        <v>151.72413793103448</v>
      </c>
      <c r="G23" s="26">
        <f>E23*C23</f>
        <v>157.14402076559611</v>
      </c>
      <c r="H23" s="26">
        <f>F23+G23</f>
        <v>308.86815869663059</v>
      </c>
      <c r="I23" s="26">
        <f>H23+600</f>
        <v>908.86815869663064</v>
      </c>
      <c r="J23" s="19">
        <f>1000-I23</f>
        <v>91.131841303369356</v>
      </c>
      <c r="K23" s="20">
        <f>J23/1000*100</f>
        <v>9.1131841303369363</v>
      </c>
      <c r="L23" s="19">
        <v>85.711958468807779</v>
      </c>
      <c r="M23" s="20">
        <v>9.374721594877558</v>
      </c>
      <c r="N23" s="19">
        <f>J23-L23</f>
        <v>5.4198828345615766</v>
      </c>
      <c r="Q23" s="19">
        <v>91.131841303369356</v>
      </c>
      <c r="R23" s="19">
        <v>85.711958468807779</v>
      </c>
      <c r="S23" s="19">
        <v>5.4198828345615766</v>
      </c>
    </row>
    <row r="24" spans="2:21" x14ac:dyDescent="0.25">
      <c r="B24" s="14" t="s">
        <v>43</v>
      </c>
      <c r="C24" s="15">
        <v>92.016032304663156</v>
      </c>
      <c r="D24" s="18">
        <v>3.4482758620689653</v>
      </c>
      <c r="E24" s="18">
        <f t="shared" ref="E24:E34" si="8">D24*50/100</f>
        <v>1.7241379310344827</v>
      </c>
      <c r="F24" s="26">
        <f t="shared" ref="F24:F34" si="9">E24*88</f>
        <v>151.72413793103448</v>
      </c>
      <c r="G24" s="26">
        <f t="shared" ref="G24:G34" si="10">E24*C24</f>
        <v>158.64833155976405</v>
      </c>
      <c r="H24" s="26">
        <f t="shared" ref="H24:H34" si="11">F24+G24</f>
        <v>310.37246949079849</v>
      </c>
      <c r="I24" s="26">
        <f t="shared" ref="I24:I34" si="12">H24+600</f>
        <v>910.37246949079849</v>
      </c>
      <c r="J24" s="19">
        <f t="shared" ref="J24" si="13">1000-I24</f>
        <v>89.627530509201506</v>
      </c>
      <c r="K24" s="20">
        <f t="shared" ref="K24:K34" si="14">J24/1000*100</f>
        <v>8.962753050920151</v>
      </c>
      <c r="L24" s="19">
        <v>82.703336880471852</v>
      </c>
      <c r="M24" s="20">
        <v>9.0159857988816441</v>
      </c>
      <c r="N24" s="19">
        <f t="shared" ref="N24:N34" si="15">J24-L24</f>
        <v>6.9241936287296539</v>
      </c>
      <c r="Q24" s="19">
        <v>89.627530509201506</v>
      </c>
      <c r="R24" s="19">
        <v>82.703336880471852</v>
      </c>
      <c r="S24" s="19">
        <v>6.9241936287296539</v>
      </c>
    </row>
    <row r="25" spans="2:21" x14ac:dyDescent="0.25">
      <c r="B25" s="14" t="s">
        <v>44</v>
      </c>
      <c r="C25" s="16">
        <v>90.310867744914134</v>
      </c>
      <c r="D25" s="18">
        <v>3.4482758620689653</v>
      </c>
      <c r="E25" s="18">
        <f t="shared" si="8"/>
        <v>1.7241379310344827</v>
      </c>
      <c r="F25" s="26">
        <f t="shared" si="9"/>
        <v>151.72413793103448</v>
      </c>
      <c r="G25" s="26">
        <f t="shared" si="10"/>
        <v>155.70839266364504</v>
      </c>
      <c r="H25" s="26">
        <f t="shared" si="11"/>
        <v>307.43253059467952</v>
      </c>
      <c r="I25" s="26">
        <f t="shared" si="12"/>
        <v>907.43253059467952</v>
      </c>
      <c r="J25" s="19">
        <f t="shared" ref="J25" si="16">1000-I25</f>
        <v>92.56746940532048</v>
      </c>
      <c r="K25" s="20">
        <f t="shared" si="14"/>
        <v>9.2567469405320484</v>
      </c>
      <c r="L25" s="19">
        <v>88.583214672709914</v>
      </c>
      <c r="M25" s="20">
        <v>9.719287169030979</v>
      </c>
      <c r="N25" s="19">
        <f t="shared" si="15"/>
        <v>3.984254732610566</v>
      </c>
      <c r="Q25" s="19">
        <v>92.56746940532048</v>
      </c>
      <c r="R25" s="19">
        <v>88.583214672709914</v>
      </c>
      <c r="S25" s="19">
        <v>3.984254732610566</v>
      </c>
    </row>
    <row r="26" spans="2:21" x14ac:dyDescent="0.25">
      <c r="B26" s="14" t="s">
        <v>45</v>
      </c>
      <c r="C26" s="15">
        <v>88.530424933325932</v>
      </c>
      <c r="D26" s="18">
        <v>3.4482758620689653</v>
      </c>
      <c r="E26" s="18">
        <f t="shared" si="8"/>
        <v>1.7241379310344827</v>
      </c>
      <c r="F26" s="26">
        <f t="shared" si="9"/>
        <v>151.72413793103448</v>
      </c>
      <c r="G26" s="26">
        <f t="shared" si="10"/>
        <v>152.63866367814816</v>
      </c>
      <c r="H26" s="26">
        <f t="shared" si="11"/>
        <v>304.36280160918261</v>
      </c>
      <c r="I26" s="26">
        <f t="shared" si="12"/>
        <v>904.36280160918261</v>
      </c>
      <c r="J26" s="19">
        <f t="shared" ref="J26" si="17">1000-I26</f>
        <v>95.637198390817389</v>
      </c>
      <c r="K26" s="20">
        <f t="shared" si="14"/>
        <v>9.5637198390817382</v>
      </c>
      <c r="L26" s="19">
        <v>94.722672643703618</v>
      </c>
      <c r="M26" s="20">
        <v>10.463387271646862</v>
      </c>
      <c r="N26" s="19">
        <f t="shared" si="15"/>
        <v>0.9145257471137711</v>
      </c>
      <c r="Q26" s="19">
        <v>95.637198390817389</v>
      </c>
      <c r="R26" s="19">
        <v>94.722672643703618</v>
      </c>
      <c r="S26" s="19">
        <v>0.9145257471137711</v>
      </c>
    </row>
    <row r="27" spans="2:21" x14ac:dyDescent="0.25">
      <c r="B27" s="14" t="s">
        <v>46</v>
      </c>
      <c r="C27" s="16">
        <v>87.888719139895983</v>
      </c>
      <c r="D27" s="18">
        <v>3.4482758620689653</v>
      </c>
      <c r="E27" s="18">
        <f t="shared" si="8"/>
        <v>1.7241379310344827</v>
      </c>
      <c r="F27" s="26">
        <f t="shared" si="9"/>
        <v>151.72413793103448</v>
      </c>
      <c r="G27" s="26">
        <f t="shared" si="10"/>
        <v>151.532274379131</v>
      </c>
      <c r="H27" s="26">
        <f t="shared" si="11"/>
        <v>303.2564123101655</v>
      </c>
      <c r="I27" s="26">
        <f t="shared" si="12"/>
        <v>903.2564123101655</v>
      </c>
      <c r="J27" s="19">
        <f t="shared" ref="J27" si="18">1000-I27</f>
        <v>96.743587689834499</v>
      </c>
      <c r="K27" s="20">
        <f t="shared" si="14"/>
        <v>9.6743587689834509</v>
      </c>
      <c r="L27" s="19">
        <v>96.935451241738065</v>
      </c>
      <c r="M27" s="20">
        <v>10.734055652503125</v>
      </c>
      <c r="N27" s="19">
        <f t="shared" si="15"/>
        <v>-0.19186355190356608</v>
      </c>
      <c r="Q27" s="19">
        <v>96.743587689834499</v>
      </c>
      <c r="R27" s="19">
        <v>96.935451241738065</v>
      </c>
      <c r="S27" s="19">
        <v>-0.19186355190356608</v>
      </c>
    </row>
    <row r="28" spans="2:21" x14ac:dyDescent="0.25">
      <c r="B28" s="14" t="s">
        <v>47</v>
      </c>
      <c r="C28" s="15">
        <v>87.75550805709193</v>
      </c>
      <c r="D28" s="18">
        <v>3.4482758620689653</v>
      </c>
      <c r="E28" s="18">
        <f t="shared" si="8"/>
        <v>1.7241379310344827</v>
      </c>
      <c r="F28" s="26">
        <f t="shared" si="9"/>
        <v>151.72413793103448</v>
      </c>
      <c r="G28" s="26">
        <f t="shared" si="10"/>
        <v>151.30260009843434</v>
      </c>
      <c r="H28" s="26">
        <f t="shared" si="11"/>
        <v>303.02673802946879</v>
      </c>
      <c r="I28" s="26">
        <f t="shared" si="12"/>
        <v>903.02673802946879</v>
      </c>
      <c r="J28" s="19">
        <f t="shared" ref="J28" si="19">1000-I28</f>
        <v>96.973261970531212</v>
      </c>
      <c r="K28" s="20">
        <f t="shared" si="14"/>
        <v>9.6973261970531208</v>
      </c>
      <c r="L28" s="19">
        <v>97.394799803131264</v>
      </c>
      <c r="M28" s="20">
        <v>10.790409780697953</v>
      </c>
      <c r="N28" s="19">
        <f t="shared" si="15"/>
        <v>-0.42153783260005184</v>
      </c>
      <c r="Q28" s="19">
        <v>96.973261970531212</v>
      </c>
      <c r="R28" s="19">
        <v>97.394799803131264</v>
      </c>
      <c r="S28" s="19">
        <v>-0.42153783260005184</v>
      </c>
    </row>
    <row r="29" spans="2:21" x14ac:dyDescent="0.25">
      <c r="B29" s="14" t="s">
        <v>48</v>
      </c>
      <c r="C29" s="16">
        <v>85.503879054174504</v>
      </c>
      <c r="D29" s="18">
        <v>3.4482758620689653</v>
      </c>
      <c r="E29" s="18">
        <f t="shared" si="8"/>
        <v>1.7241379310344827</v>
      </c>
      <c r="F29" s="26">
        <f t="shared" si="9"/>
        <v>151.72413793103448</v>
      </c>
      <c r="G29" s="26">
        <f t="shared" si="10"/>
        <v>147.42048112788706</v>
      </c>
      <c r="H29" s="26">
        <f t="shared" si="11"/>
        <v>299.14461905892153</v>
      </c>
      <c r="I29" s="26">
        <f t="shared" si="12"/>
        <v>899.14461905892153</v>
      </c>
      <c r="J29" s="19">
        <f t="shared" ref="J29" si="20">1000-I29</f>
        <v>100.85538094107847</v>
      </c>
      <c r="K29" s="20">
        <f t="shared" si="14"/>
        <v>10.085538094107847</v>
      </c>
      <c r="L29" s="19">
        <v>105.15903774422588</v>
      </c>
      <c r="M29" s="20">
        <v>11.75170138380054</v>
      </c>
      <c r="N29" s="19">
        <f t="shared" si="15"/>
        <v>-4.3036568031474189</v>
      </c>
      <c r="Q29" s="19">
        <v>100.85538094107847</v>
      </c>
      <c r="R29" s="19">
        <v>105.15903774422588</v>
      </c>
      <c r="S29" s="19">
        <v>-4.3036568031474189</v>
      </c>
    </row>
    <row r="30" spans="2:21" x14ac:dyDescent="0.25">
      <c r="B30" s="14" t="s">
        <v>49</v>
      </c>
      <c r="C30" s="15">
        <v>84.837811450089788</v>
      </c>
      <c r="D30" s="18">
        <v>3.4482758620689653</v>
      </c>
      <c r="E30" s="18">
        <f t="shared" si="8"/>
        <v>1.7241379310344827</v>
      </c>
      <c r="F30" s="26">
        <f t="shared" si="9"/>
        <v>151.72413793103448</v>
      </c>
      <c r="G30" s="26">
        <f t="shared" si="10"/>
        <v>146.27208870705135</v>
      </c>
      <c r="H30" s="26">
        <f t="shared" si="11"/>
        <v>297.99622663808583</v>
      </c>
      <c r="I30" s="26">
        <f t="shared" si="12"/>
        <v>897.99622663808577</v>
      </c>
      <c r="J30" s="19">
        <f t="shared" ref="J30" si="21">1000-I30</f>
        <v>102.00377336191423</v>
      </c>
      <c r="K30" s="20">
        <f t="shared" si="14"/>
        <v>10.200377336191423</v>
      </c>
      <c r="L30" s="19">
        <v>107.45582258589729</v>
      </c>
      <c r="M30" s="20">
        <v>12.039272150900194</v>
      </c>
      <c r="N30" s="19">
        <f t="shared" si="15"/>
        <v>-5.4520492239830673</v>
      </c>
      <c r="Q30" s="19">
        <v>102.00377336191423</v>
      </c>
      <c r="R30" s="19">
        <v>107.45582258589729</v>
      </c>
      <c r="S30" s="19">
        <v>-5.4520492239830673</v>
      </c>
    </row>
    <row r="31" spans="2:21" x14ac:dyDescent="0.25">
      <c r="B31" s="14" t="s">
        <v>50</v>
      </c>
      <c r="C31" s="16">
        <v>84.388436454767231</v>
      </c>
      <c r="D31" s="18">
        <v>3.4482758620689653</v>
      </c>
      <c r="E31" s="18">
        <f t="shared" si="8"/>
        <v>1.7241379310344827</v>
      </c>
      <c r="F31" s="26">
        <f t="shared" si="9"/>
        <v>151.72413793103448</v>
      </c>
      <c r="G31" s="26">
        <f t="shared" si="10"/>
        <v>145.49730423235729</v>
      </c>
      <c r="H31" s="26">
        <f t="shared" si="11"/>
        <v>297.22144216339177</v>
      </c>
      <c r="I31" s="26">
        <f t="shared" si="12"/>
        <v>897.22144216339177</v>
      </c>
      <c r="J31" s="19">
        <f t="shared" ref="J31" si="22">1000-I31</f>
        <v>102.77855783660823</v>
      </c>
      <c r="K31" s="20">
        <f t="shared" si="14"/>
        <v>10.277855783660824</v>
      </c>
      <c r="L31" s="19">
        <v>109.00539153528541</v>
      </c>
      <c r="M31" s="20">
        <v>12.234124707344094</v>
      </c>
      <c r="N31" s="19">
        <f t="shared" si="15"/>
        <v>-6.2268336986771828</v>
      </c>
      <c r="Q31" s="19">
        <v>102.77855783660823</v>
      </c>
      <c r="R31" s="19">
        <v>109.00539153528541</v>
      </c>
      <c r="S31" s="19">
        <v>-6.2268336986771828</v>
      </c>
    </row>
    <row r="32" spans="2:21" x14ac:dyDescent="0.25">
      <c r="B32" s="14" t="s">
        <v>51</v>
      </c>
      <c r="C32" s="15">
        <v>83.446926265470239</v>
      </c>
      <c r="D32" s="18">
        <v>3.4482758620689653</v>
      </c>
      <c r="E32" s="18">
        <f t="shared" si="8"/>
        <v>1.7241379310344827</v>
      </c>
      <c r="F32" s="26">
        <f t="shared" si="9"/>
        <v>151.72413793103448</v>
      </c>
      <c r="G32" s="26">
        <f t="shared" si="10"/>
        <v>143.87401080253488</v>
      </c>
      <c r="H32" s="26">
        <f t="shared" si="11"/>
        <v>295.59814873356936</v>
      </c>
      <c r="I32" s="26">
        <f t="shared" si="12"/>
        <v>895.59814873356936</v>
      </c>
      <c r="J32" s="19">
        <f t="shared" ref="J32" si="23">1000-I32</f>
        <v>104.40185126643064</v>
      </c>
      <c r="K32" s="20">
        <f t="shared" si="14"/>
        <v>10.440185126643065</v>
      </c>
      <c r="L32" s="19">
        <v>112.25197839493023</v>
      </c>
      <c r="M32" s="20">
        <v>12.644576576129785</v>
      </c>
      <c r="N32" s="19">
        <f t="shared" si="15"/>
        <v>-7.8501271284995937</v>
      </c>
      <c r="Q32" s="19">
        <v>104.40185126643064</v>
      </c>
      <c r="R32" s="19">
        <v>112.25197839493023</v>
      </c>
      <c r="S32" s="19">
        <v>-7.8501271284995937</v>
      </c>
    </row>
    <row r="33" spans="2:21" x14ac:dyDescent="0.25">
      <c r="B33" s="14" t="s">
        <v>52</v>
      </c>
      <c r="C33" s="16">
        <v>82.274631433867896</v>
      </c>
      <c r="D33" s="18">
        <v>3.4482758620689653</v>
      </c>
      <c r="E33" s="18">
        <f t="shared" si="8"/>
        <v>1.7241379310344827</v>
      </c>
      <c r="F33" s="26">
        <f t="shared" si="9"/>
        <v>151.72413793103448</v>
      </c>
      <c r="G33" s="26">
        <f t="shared" si="10"/>
        <v>141.85281281701361</v>
      </c>
      <c r="H33" s="26">
        <f t="shared" si="11"/>
        <v>293.57695074804809</v>
      </c>
      <c r="I33" s="26">
        <f t="shared" si="12"/>
        <v>893.57695074804815</v>
      </c>
      <c r="J33" s="19">
        <f t="shared" ref="J33" si="24">1000-I33</f>
        <v>106.42304925195185</v>
      </c>
      <c r="K33" s="20">
        <f t="shared" si="14"/>
        <v>10.642304925195186</v>
      </c>
      <c r="L33" s="19">
        <v>116.29437436597277</v>
      </c>
      <c r="M33" s="20">
        <v>13.159854480108772</v>
      </c>
      <c r="N33" s="19">
        <f t="shared" si="15"/>
        <v>-9.8713251140209195</v>
      </c>
      <c r="Q33" s="19">
        <v>106.42304925195185</v>
      </c>
      <c r="R33" s="19">
        <v>116.29437436597277</v>
      </c>
      <c r="S33" s="19">
        <v>-9.8713251140209195</v>
      </c>
    </row>
    <row r="34" spans="2:21" x14ac:dyDescent="0.25">
      <c r="B34" s="14" t="s">
        <v>53</v>
      </c>
      <c r="C34" s="15">
        <v>83.500085761555624</v>
      </c>
      <c r="D34" s="18">
        <v>3.4482758620689653</v>
      </c>
      <c r="E34" s="18">
        <f t="shared" si="8"/>
        <v>1.7241379310344827</v>
      </c>
      <c r="F34" s="26">
        <f t="shared" si="9"/>
        <v>151.72413793103448</v>
      </c>
      <c r="G34" s="26">
        <f t="shared" si="10"/>
        <v>143.96566510613039</v>
      </c>
      <c r="H34" s="26">
        <f t="shared" si="11"/>
        <v>295.68980303716489</v>
      </c>
      <c r="I34" s="26">
        <f t="shared" si="12"/>
        <v>895.68980303716489</v>
      </c>
      <c r="J34" s="19">
        <f t="shared" ref="J34" si="25">1000-I34</f>
        <v>104.31019696283511</v>
      </c>
      <c r="K34" s="20">
        <f t="shared" si="14"/>
        <v>10.431019696283512</v>
      </c>
      <c r="L34" s="19">
        <v>112.06866978773928</v>
      </c>
      <c r="M34" s="20">
        <v>12.621321714253417</v>
      </c>
      <c r="N34" s="19">
        <f t="shared" si="15"/>
        <v>-7.7584728249041746</v>
      </c>
      <c r="Q34" s="19">
        <v>104.31019696283511</v>
      </c>
      <c r="R34" s="19">
        <v>112.06866978773928</v>
      </c>
      <c r="S34" s="19">
        <v>-7.7584728249041746</v>
      </c>
    </row>
    <row r="37" spans="2:21" x14ac:dyDescent="0.25">
      <c r="C37" s="41" t="s">
        <v>67</v>
      </c>
      <c r="D37" s="41"/>
      <c r="E37" s="41"/>
      <c r="Q37" s="41" t="s">
        <v>90</v>
      </c>
      <c r="R37" s="41"/>
      <c r="S37" s="41"/>
      <c r="T37" s="41"/>
      <c r="U37" s="41"/>
    </row>
    <row r="39" spans="2:21" x14ac:dyDescent="0.25">
      <c r="B39" s="13" t="s">
        <v>40</v>
      </c>
      <c r="C39" s="13" t="s">
        <v>41</v>
      </c>
      <c r="D39" s="17" t="s">
        <v>54</v>
      </c>
      <c r="E39" s="17" t="s">
        <v>71</v>
      </c>
      <c r="F39" s="17" t="s">
        <v>72</v>
      </c>
      <c r="G39" s="25" t="s">
        <v>84</v>
      </c>
      <c r="H39" s="25" t="s">
        <v>73</v>
      </c>
      <c r="I39" s="25" t="s">
        <v>32</v>
      </c>
      <c r="J39" s="25" t="s">
        <v>76</v>
      </c>
      <c r="K39" s="25" t="s">
        <v>83</v>
      </c>
      <c r="L39" s="25" t="s">
        <v>82</v>
      </c>
      <c r="M39" s="25" t="s">
        <v>81</v>
      </c>
      <c r="N39" s="25" t="s">
        <v>75</v>
      </c>
      <c r="Q39" s="25" t="s">
        <v>76</v>
      </c>
      <c r="R39" s="25" t="s">
        <v>82</v>
      </c>
      <c r="S39" s="25" t="s">
        <v>75</v>
      </c>
    </row>
    <row r="40" spans="2:21" x14ac:dyDescent="0.25">
      <c r="B40" s="14" t="s">
        <v>42</v>
      </c>
      <c r="C40" s="16">
        <v>96.312936642210019</v>
      </c>
      <c r="D40" s="18">
        <v>3.4482758620689653</v>
      </c>
      <c r="E40" s="18">
        <f>D40*50/100</f>
        <v>1.7241379310344827</v>
      </c>
      <c r="F40" s="26">
        <f>E40*88</f>
        <v>151.72413793103448</v>
      </c>
      <c r="G40" s="26">
        <f>E40*C40</f>
        <v>166.0567873141552</v>
      </c>
      <c r="H40" s="26">
        <f>F40+G40</f>
        <v>317.78092524518968</v>
      </c>
      <c r="I40" s="26">
        <f>H40+600</f>
        <v>917.78092524518968</v>
      </c>
      <c r="J40" s="19">
        <f>1000-I40</f>
        <v>82.219074754810322</v>
      </c>
      <c r="K40" s="20">
        <f>J40/1000*100</f>
        <v>8.2219074754810322</v>
      </c>
      <c r="L40" s="19">
        <v>67.886425371689597</v>
      </c>
      <c r="M40" s="20">
        <v>7.2830636973353791</v>
      </c>
      <c r="N40" s="19">
        <f>J40-L40</f>
        <v>14.332649383120724</v>
      </c>
      <c r="Q40" s="19">
        <v>82.219074754810322</v>
      </c>
      <c r="R40" s="19">
        <v>67.886425371689597</v>
      </c>
      <c r="S40" s="19">
        <v>14.332649383120724</v>
      </c>
    </row>
    <row r="41" spans="2:21" x14ac:dyDescent="0.25">
      <c r="B41" s="14" t="s">
        <v>43</v>
      </c>
      <c r="C41" s="15">
        <v>98.438164020957714</v>
      </c>
      <c r="D41" s="18">
        <v>3.4482758620689653</v>
      </c>
      <c r="E41" s="18">
        <f t="shared" ref="E41:E51" si="26">D41*50/100</f>
        <v>1.7241379310344827</v>
      </c>
      <c r="F41" s="26">
        <f t="shared" ref="F41:F51" si="27">E41*88</f>
        <v>151.72413793103448</v>
      </c>
      <c r="G41" s="26">
        <f t="shared" ref="G41:G51" si="28">E41*C41</f>
        <v>169.72097244992707</v>
      </c>
      <c r="H41" s="26">
        <f t="shared" ref="H41:H51" si="29">F41+G41</f>
        <v>321.44511038096152</v>
      </c>
      <c r="I41" s="26">
        <f t="shared" ref="I41:I51" si="30">H41+600</f>
        <v>921.44511038096152</v>
      </c>
      <c r="J41" s="19">
        <f t="shared" ref="J41" si="31">1000-I41</f>
        <v>78.554889619038477</v>
      </c>
      <c r="K41" s="20">
        <f t="shared" ref="K41:K51" si="32">J41/1000*100</f>
        <v>7.8554889619038475</v>
      </c>
      <c r="L41" s="19">
        <v>60.558055100145793</v>
      </c>
      <c r="M41" s="20">
        <v>6.4461732232534459</v>
      </c>
      <c r="N41" s="19">
        <f t="shared" ref="N41:N51" si="33">J41-L41</f>
        <v>17.996834518892683</v>
      </c>
      <c r="Q41" s="19">
        <v>78.554889619038477</v>
      </c>
      <c r="R41" s="19">
        <v>60.558055100145793</v>
      </c>
      <c r="S41" s="19">
        <v>17.996834518892683</v>
      </c>
    </row>
    <row r="42" spans="2:21" x14ac:dyDescent="0.25">
      <c r="B42" s="14" t="s">
        <v>44</v>
      </c>
      <c r="C42" s="16">
        <v>97.945382801081735</v>
      </c>
      <c r="D42" s="18">
        <v>3.4482758620689653</v>
      </c>
      <c r="E42" s="18">
        <f t="shared" si="26"/>
        <v>1.7241379310344827</v>
      </c>
      <c r="F42" s="26">
        <f t="shared" si="27"/>
        <v>151.72413793103448</v>
      </c>
      <c r="G42" s="26">
        <f t="shared" si="28"/>
        <v>168.87134965703746</v>
      </c>
      <c r="H42" s="26">
        <f t="shared" si="29"/>
        <v>320.59548758807193</v>
      </c>
      <c r="I42" s="26">
        <f t="shared" si="30"/>
        <v>920.59548758807193</v>
      </c>
      <c r="J42" s="19">
        <f t="shared" ref="J42" si="34">1000-I42</f>
        <v>79.404512411928067</v>
      </c>
      <c r="K42" s="20">
        <f t="shared" si="32"/>
        <v>7.9404512411928074</v>
      </c>
      <c r="L42" s="19">
        <v>62.257300685925088</v>
      </c>
      <c r="M42" s="20">
        <v>6.6390600248302718</v>
      </c>
      <c r="N42" s="19">
        <f t="shared" si="33"/>
        <v>17.147211726002979</v>
      </c>
      <c r="Q42" s="19">
        <v>79.404512411928067</v>
      </c>
      <c r="R42" s="19">
        <v>62.257300685925088</v>
      </c>
      <c r="S42" s="19">
        <v>17.147211726002979</v>
      </c>
    </row>
    <row r="43" spans="2:21" x14ac:dyDescent="0.25">
      <c r="B43" s="14" t="s">
        <v>45</v>
      </c>
      <c r="C43" s="15">
        <v>97.365047618088553</v>
      </c>
      <c r="D43" s="18">
        <v>3.4482758620689653</v>
      </c>
      <c r="E43" s="18">
        <f t="shared" si="26"/>
        <v>1.7241379310344827</v>
      </c>
      <c r="F43" s="26">
        <f t="shared" si="27"/>
        <v>151.72413793103448</v>
      </c>
      <c r="G43" s="26">
        <f t="shared" si="28"/>
        <v>167.87077175532508</v>
      </c>
      <c r="H43" s="26">
        <f t="shared" si="29"/>
        <v>319.59490968635953</v>
      </c>
      <c r="I43" s="26">
        <f t="shared" si="30"/>
        <v>919.59490968635953</v>
      </c>
      <c r="J43" s="19">
        <f t="shared" ref="J43" si="35">1000-I43</f>
        <v>80.405090313640471</v>
      </c>
      <c r="K43" s="20">
        <f t="shared" si="32"/>
        <v>8.0405090313640475</v>
      </c>
      <c r="L43" s="19">
        <v>64.258456489349783</v>
      </c>
      <c r="M43" s="20">
        <v>6.867115918383762</v>
      </c>
      <c r="N43" s="19">
        <f t="shared" si="33"/>
        <v>16.146633824290689</v>
      </c>
      <c r="Q43" s="19">
        <v>80.405090313640471</v>
      </c>
      <c r="R43" s="19">
        <v>64.258456489349783</v>
      </c>
      <c r="S43" s="19">
        <v>16.146633824290689</v>
      </c>
    </row>
    <row r="44" spans="2:21" x14ac:dyDescent="0.25">
      <c r="B44" s="14" t="s">
        <v>46</v>
      </c>
      <c r="C44" s="16">
        <v>97.925634517521388</v>
      </c>
      <c r="D44" s="18">
        <v>3.4482758620689653</v>
      </c>
      <c r="E44" s="18">
        <f t="shared" si="26"/>
        <v>1.7241379310344827</v>
      </c>
      <c r="F44" s="26">
        <f t="shared" si="27"/>
        <v>151.72413793103448</v>
      </c>
      <c r="G44" s="26">
        <f t="shared" si="28"/>
        <v>168.83730089227825</v>
      </c>
      <c r="H44" s="26">
        <f t="shared" si="29"/>
        <v>320.56143882331276</v>
      </c>
      <c r="I44" s="26">
        <f t="shared" si="30"/>
        <v>920.56143882331276</v>
      </c>
      <c r="J44" s="19">
        <f t="shared" ref="J44" si="36">1000-I44</f>
        <v>79.438561176687244</v>
      </c>
      <c r="K44" s="20">
        <f t="shared" si="32"/>
        <v>7.9438561176687239</v>
      </c>
      <c r="L44" s="19">
        <v>62.325398215443556</v>
      </c>
      <c r="M44" s="20">
        <v>6.6468045627798356</v>
      </c>
      <c r="N44" s="19">
        <f t="shared" si="33"/>
        <v>17.113162961243688</v>
      </c>
      <c r="Q44" s="19">
        <v>79.438561176687244</v>
      </c>
      <c r="R44" s="19">
        <v>62.325398215443556</v>
      </c>
      <c r="S44" s="19">
        <v>17.113162961243688</v>
      </c>
    </row>
    <row r="45" spans="2:21" x14ac:dyDescent="0.25">
      <c r="B45" s="14" t="s">
        <v>47</v>
      </c>
      <c r="C45" s="15">
        <v>99.005167522501694</v>
      </c>
      <c r="D45" s="18">
        <v>3.4482758620689653</v>
      </c>
      <c r="E45" s="18">
        <f t="shared" si="26"/>
        <v>1.7241379310344827</v>
      </c>
      <c r="F45" s="26">
        <f t="shared" si="27"/>
        <v>151.72413793103448</v>
      </c>
      <c r="G45" s="26">
        <f t="shared" si="28"/>
        <v>170.69856469396842</v>
      </c>
      <c r="H45" s="26">
        <f t="shared" si="29"/>
        <v>322.4227026250029</v>
      </c>
      <c r="I45" s="26">
        <f t="shared" si="30"/>
        <v>922.4227026250029</v>
      </c>
      <c r="J45" s="19">
        <f t="shared" ref="J45" si="37">1000-I45</f>
        <v>77.577297374997102</v>
      </c>
      <c r="K45" s="20">
        <f t="shared" si="32"/>
        <v>7.7577297374997105</v>
      </c>
      <c r="L45" s="19">
        <v>58.602870612063157</v>
      </c>
      <c r="M45" s="20">
        <v>6.2250955290425276</v>
      </c>
      <c r="N45" s="19">
        <f t="shared" si="33"/>
        <v>18.974426762933945</v>
      </c>
      <c r="Q45" s="19">
        <v>77.577297374997102</v>
      </c>
      <c r="R45" s="19">
        <v>58.602870612063157</v>
      </c>
      <c r="S45" s="19">
        <v>18.974426762933945</v>
      </c>
    </row>
    <row r="46" spans="2:21" x14ac:dyDescent="0.25">
      <c r="B46" s="14" t="s">
        <v>48</v>
      </c>
      <c r="C46" s="16">
        <v>97.981769194366152</v>
      </c>
      <c r="D46" s="18">
        <v>3.4482758620689653</v>
      </c>
      <c r="E46" s="18">
        <f t="shared" si="26"/>
        <v>1.7241379310344827</v>
      </c>
      <c r="F46" s="26">
        <f t="shared" si="27"/>
        <v>151.72413793103448</v>
      </c>
      <c r="G46" s="26">
        <f t="shared" si="28"/>
        <v>168.93408481787267</v>
      </c>
      <c r="H46" s="26">
        <f t="shared" si="29"/>
        <v>320.65822274890718</v>
      </c>
      <c r="I46" s="26">
        <f t="shared" si="30"/>
        <v>920.65822274890718</v>
      </c>
      <c r="J46" s="19">
        <f t="shared" ref="J46" si="38">1000-I46</f>
        <v>79.341777251092822</v>
      </c>
      <c r="K46" s="20">
        <f t="shared" si="32"/>
        <v>7.9341777251092811</v>
      </c>
      <c r="L46" s="19">
        <v>62.131830364254711</v>
      </c>
      <c r="M46" s="20">
        <v>6.6247935878222446</v>
      </c>
      <c r="N46" s="19">
        <f t="shared" si="33"/>
        <v>17.209946886838111</v>
      </c>
      <c r="Q46" s="19">
        <v>79.341777251092822</v>
      </c>
      <c r="R46" s="19">
        <v>62.131830364254711</v>
      </c>
      <c r="S46" s="19">
        <v>17.209946886838111</v>
      </c>
    </row>
    <row r="47" spans="2:21" x14ac:dyDescent="0.25">
      <c r="B47" s="14" t="s">
        <v>49</v>
      </c>
      <c r="C47" s="15">
        <v>98.562608865170233</v>
      </c>
      <c r="D47" s="18">
        <v>3.4482758620689653</v>
      </c>
      <c r="E47" s="18">
        <f t="shared" si="26"/>
        <v>1.7241379310344827</v>
      </c>
      <c r="F47" s="26">
        <f t="shared" si="27"/>
        <v>151.72413793103448</v>
      </c>
      <c r="G47" s="26">
        <f t="shared" si="28"/>
        <v>169.93553252615555</v>
      </c>
      <c r="H47" s="26">
        <f t="shared" si="29"/>
        <v>321.65967045719003</v>
      </c>
      <c r="I47" s="26">
        <f t="shared" si="30"/>
        <v>921.65967045719003</v>
      </c>
      <c r="J47" s="19">
        <f t="shared" ref="J47" si="39">1000-I47</f>
        <v>78.340329542809968</v>
      </c>
      <c r="K47" s="20">
        <f t="shared" si="32"/>
        <v>7.8340329542809961</v>
      </c>
      <c r="L47" s="19">
        <v>60.12893494768889</v>
      </c>
      <c r="M47" s="20">
        <v>6.3975727292277327</v>
      </c>
      <c r="N47" s="19">
        <f t="shared" si="33"/>
        <v>18.211394595121078</v>
      </c>
      <c r="Q47" s="19">
        <v>78.340329542809968</v>
      </c>
      <c r="R47" s="19">
        <v>60.12893494768889</v>
      </c>
      <c r="S47" s="19">
        <v>18.211394595121078</v>
      </c>
    </row>
    <row r="48" spans="2:21" x14ac:dyDescent="0.25">
      <c r="B48" s="14" t="s">
        <v>50</v>
      </c>
      <c r="C48" s="16">
        <v>99.380884029761944</v>
      </c>
      <c r="D48" s="18">
        <v>3.4482758620689653</v>
      </c>
      <c r="E48" s="18">
        <f t="shared" si="26"/>
        <v>1.7241379310344827</v>
      </c>
      <c r="F48" s="26">
        <f t="shared" si="27"/>
        <v>151.72413793103448</v>
      </c>
      <c r="G48" s="26">
        <f t="shared" si="28"/>
        <v>171.34635177545161</v>
      </c>
      <c r="H48" s="26">
        <f t="shared" si="29"/>
        <v>323.07048970648611</v>
      </c>
      <c r="I48" s="26">
        <f t="shared" si="30"/>
        <v>923.07048970648611</v>
      </c>
      <c r="J48" s="19">
        <f t="shared" ref="J48" si="40">1000-I48</f>
        <v>76.929510293513886</v>
      </c>
      <c r="K48" s="20">
        <f t="shared" si="32"/>
        <v>7.6929510293513887</v>
      </c>
      <c r="L48" s="19">
        <v>57.307296449096839</v>
      </c>
      <c r="M48" s="20">
        <v>6.0791068216857562</v>
      </c>
      <c r="N48" s="19">
        <f t="shared" si="33"/>
        <v>19.622213844417047</v>
      </c>
      <c r="Q48" s="19">
        <v>76.929510293513886</v>
      </c>
      <c r="R48" s="19">
        <v>57.307296449096839</v>
      </c>
      <c r="S48" s="19">
        <v>19.622213844417047</v>
      </c>
    </row>
    <row r="49" spans="2:19" x14ac:dyDescent="0.25">
      <c r="B49" s="14" t="s">
        <v>51</v>
      </c>
      <c r="C49" s="15">
        <v>99.729115429122317</v>
      </c>
      <c r="D49" s="18">
        <v>3.4482758620689653</v>
      </c>
      <c r="E49" s="18">
        <f t="shared" si="26"/>
        <v>1.7241379310344827</v>
      </c>
      <c r="F49" s="26">
        <f t="shared" si="27"/>
        <v>151.72413793103448</v>
      </c>
      <c r="G49" s="26">
        <f t="shared" si="28"/>
        <v>171.94675073986605</v>
      </c>
      <c r="H49" s="26">
        <f t="shared" si="29"/>
        <v>323.67088867090052</v>
      </c>
      <c r="I49" s="26">
        <f t="shared" si="30"/>
        <v>923.67088867090047</v>
      </c>
      <c r="J49" s="19">
        <f t="shared" ref="J49" si="41">1000-I49</f>
        <v>76.329111329099533</v>
      </c>
      <c r="K49" s="20">
        <f t="shared" si="32"/>
        <v>7.6329111329099533</v>
      </c>
      <c r="L49" s="19">
        <v>56.106498520267905</v>
      </c>
      <c r="M49" s="20">
        <v>5.944155609961328</v>
      </c>
      <c r="N49" s="19">
        <f t="shared" si="33"/>
        <v>20.222612808831627</v>
      </c>
      <c r="Q49" s="19">
        <v>76.329111329099533</v>
      </c>
      <c r="R49" s="19">
        <v>56.106498520267905</v>
      </c>
      <c r="S49" s="19">
        <v>20.222612808831627</v>
      </c>
    </row>
    <row r="50" spans="2:19" x14ac:dyDescent="0.25">
      <c r="B50" s="14" t="s">
        <v>52</v>
      </c>
      <c r="C50" s="16">
        <v>99.86952683279857</v>
      </c>
      <c r="D50" s="18">
        <v>3.4482758620689653</v>
      </c>
      <c r="E50" s="18">
        <f t="shared" si="26"/>
        <v>1.7241379310344827</v>
      </c>
      <c r="F50" s="26">
        <f t="shared" si="27"/>
        <v>151.72413793103448</v>
      </c>
      <c r="G50" s="26">
        <f t="shared" si="28"/>
        <v>172.18883936689409</v>
      </c>
      <c r="H50" s="26">
        <f t="shared" si="29"/>
        <v>323.91297729792859</v>
      </c>
      <c r="I50" s="26">
        <f t="shared" si="30"/>
        <v>923.91297729792859</v>
      </c>
      <c r="J50" s="19">
        <f t="shared" ref="J50" si="42">1000-I50</f>
        <v>76.087022702071408</v>
      </c>
      <c r="K50" s="20">
        <f t="shared" si="32"/>
        <v>7.6087022702071403</v>
      </c>
      <c r="L50" s="19">
        <v>55.622321266211884</v>
      </c>
      <c r="M50" s="20">
        <v>5.8898386226991004</v>
      </c>
      <c r="N50" s="19">
        <f t="shared" si="33"/>
        <v>20.464701435859524</v>
      </c>
      <c r="Q50" s="19">
        <v>76.087022702071408</v>
      </c>
      <c r="R50" s="19">
        <v>55.622321266211884</v>
      </c>
      <c r="S50" s="19">
        <v>20.464701435859524</v>
      </c>
    </row>
    <row r="51" spans="2:19" x14ac:dyDescent="0.25">
      <c r="B51" s="14" t="s">
        <v>53</v>
      </c>
      <c r="C51" s="15">
        <v>102.43120156867099</v>
      </c>
      <c r="D51" s="18">
        <v>3.4482758620689653</v>
      </c>
      <c r="E51" s="18">
        <f t="shared" si="26"/>
        <v>1.7241379310344827</v>
      </c>
      <c r="F51" s="26">
        <f t="shared" si="27"/>
        <v>151.72413793103448</v>
      </c>
      <c r="G51" s="26">
        <f t="shared" si="28"/>
        <v>176.60551994598444</v>
      </c>
      <c r="H51" s="26">
        <f t="shared" si="29"/>
        <v>328.32965787701892</v>
      </c>
      <c r="I51" s="26">
        <f t="shared" si="30"/>
        <v>928.32965787701892</v>
      </c>
      <c r="J51" s="19">
        <f t="shared" ref="J51" si="43">1000-I51</f>
        <v>71.670342122981083</v>
      </c>
      <c r="K51" s="20">
        <f t="shared" si="32"/>
        <v>7.1670342122981081</v>
      </c>
      <c r="L51" s="19">
        <v>46.788960108031119</v>
      </c>
      <c r="M51" s="20">
        <v>4.9085625480516777</v>
      </c>
      <c r="N51" s="19">
        <f t="shared" si="33"/>
        <v>24.881382014949963</v>
      </c>
      <c r="Q51" s="19">
        <v>71.670342122981083</v>
      </c>
      <c r="R51" s="19">
        <v>46.788960108031119</v>
      </c>
      <c r="S51" s="19">
        <v>24.881382014949963</v>
      </c>
    </row>
  </sheetData>
  <mergeCells count="6">
    <mergeCell ref="C3:E3"/>
    <mergeCell ref="C20:E20"/>
    <mergeCell ref="C37:E37"/>
    <mergeCell ref="Q20:U20"/>
    <mergeCell ref="Q37:U37"/>
    <mergeCell ref="Q3:V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0E5B8-3B51-4B89-8D9C-429348828DF7}">
  <dimension ref="B2:O50"/>
  <sheetViews>
    <sheetView topLeftCell="A25" workbookViewId="0">
      <selection activeCell="M32" sqref="M32"/>
    </sheetView>
  </sheetViews>
  <sheetFormatPr defaultRowHeight="15" x14ac:dyDescent="0.25"/>
  <cols>
    <col min="2" max="2" width="8.7109375" bestFit="1" customWidth="1"/>
    <col min="3" max="3" width="8.7109375" style="24" customWidth="1"/>
    <col min="4" max="4" width="10.5703125" bestFit="1" customWidth="1"/>
    <col min="5" max="5" width="10.5703125" style="24" customWidth="1"/>
    <col min="6" max="6" width="12" bestFit="1" customWidth="1"/>
    <col min="7" max="7" width="12" style="24" customWidth="1"/>
    <col min="8" max="8" width="8.7109375" bestFit="1" customWidth="1"/>
    <col min="13" max="13" width="23" bestFit="1" customWidth="1"/>
    <col min="14" max="14" width="25.5703125" bestFit="1" customWidth="1"/>
    <col min="15" max="15" width="14.85546875" bestFit="1" customWidth="1"/>
  </cols>
  <sheetData>
    <row r="2" spans="2:15" x14ac:dyDescent="0.25">
      <c r="D2" s="41" t="s">
        <v>66</v>
      </c>
      <c r="E2" s="41"/>
      <c r="F2" s="41"/>
      <c r="G2" s="27"/>
      <c r="M2" s="41" t="s">
        <v>87</v>
      </c>
      <c r="N2" s="41"/>
    </row>
    <row r="4" spans="2:15" x14ac:dyDescent="0.25">
      <c r="B4" s="13" t="s">
        <v>40</v>
      </c>
      <c r="C4" s="17" t="s">
        <v>64</v>
      </c>
      <c r="D4" s="25" t="s">
        <v>76</v>
      </c>
      <c r="E4" s="25" t="s">
        <v>78</v>
      </c>
      <c r="F4" s="25" t="s">
        <v>77</v>
      </c>
      <c r="G4" s="25" t="s">
        <v>79</v>
      </c>
      <c r="H4" s="21" t="s">
        <v>80</v>
      </c>
      <c r="L4" s="13" t="s">
        <v>40</v>
      </c>
      <c r="M4" s="25" t="s">
        <v>78</v>
      </c>
      <c r="N4" s="25" t="s">
        <v>79</v>
      </c>
      <c r="O4" s="21" t="s">
        <v>74</v>
      </c>
    </row>
    <row r="5" spans="2:15" x14ac:dyDescent="0.25">
      <c r="B5" s="14" t="s">
        <v>42</v>
      </c>
      <c r="C5" s="17">
        <v>833333.33333333337</v>
      </c>
      <c r="D5" s="19">
        <v>86.675458029089896</v>
      </c>
      <c r="E5" s="19">
        <f>D5*100000/12</f>
        <v>722295.48357574909</v>
      </c>
      <c r="F5" s="19">
        <v>76.799191920248632</v>
      </c>
      <c r="G5" s="19">
        <v>639993.2660020719</v>
      </c>
      <c r="H5" s="19">
        <f t="shared" ref="H5:H16" si="0">E5-G5</f>
        <v>82302.21757367719</v>
      </c>
      <c r="L5" s="14" t="s">
        <v>42</v>
      </c>
      <c r="M5" s="19">
        <v>722295.48357574909</v>
      </c>
      <c r="N5" s="19">
        <v>639993.2660020719</v>
      </c>
      <c r="O5" s="19">
        <v>82302.21757367719</v>
      </c>
    </row>
    <row r="6" spans="2:15" x14ac:dyDescent="0.25">
      <c r="B6" s="14" t="s">
        <v>43</v>
      </c>
      <c r="C6" s="17">
        <v>833333.33333333337</v>
      </c>
      <c r="D6" s="19">
        <v>84.091210064119991</v>
      </c>
      <c r="E6" s="19">
        <f t="shared" ref="E6:E16" si="1">D6*100000/12</f>
        <v>700760.08386766666</v>
      </c>
      <c r="F6" s="19">
        <v>71.630695990308823</v>
      </c>
      <c r="G6" s="19">
        <v>596922.4665859068</v>
      </c>
      <c r="H6" s="19">
        <f t="shared" si="0"/>
        <v>103837.61728175986</v>
      </c>
      <c r="L6" s="14" t="s">
        <v>43</v>
      </c>
      <c r="M6" s="19">
        <v>700760.08386766666</v>
      </c>
      <c r="N6" s="19">
        <v>596922.4665859068</v>
      </c>
      <c r="O6" s="19">
        <v>103837.61728175986</v>
      </c>
    </row>
    <row r="7" spans="2:15" x14ac:dyDescent="0.25">
      <c r="B7" s="14" t="s">
        <v>44</v>
      </c>
      <c r="C7" s="17">
        <v>833333.33333333337</v>
      </c>
      <c r="D7" s="19">
        <v>85.985990908624217</v>
      </c>
      <c r="E7" s="19">
        <f t="shared" si="1"/>
        <v>716549.92423853511</v>
      </c>
      <c r="F7" s="19">
        <v>75.420257679317501</v>
      </c>
      <c r="G7" s="19">
        <v>628502.1473276458</v>
      </c>
      <c r="H7" s="19">
        <f t="shared" si="0"/>
        <v>88047.776910889312</v>
      </c>
      <c r="L7" s="14" t="s">
        <v>44</v>
      </c>
      <c r="M7" s="19">
        <v>716549.92423853511</v>
      </c>
      <c r="N7" s="19">
        <v>628502.1473276458</v>
      </c>
      <c r="O7" s="19">
        <v>88047.776910889312</v>
      </c>
    </row>
    <row r="8" spans="2:15" x14ac:dyDescent="0.25">
      <c r="B8" s="14" t="s">
        <v>45</v>
      </c>
      <c r="C8" s="17">
        <v>833333.33333333337</v>
      </c>
      <c r="D8" s="19">
        <v>88.02114435222893</v>
      </c>
      <c r="E8" s="19">
        <f t="shared" si="1"/>
        <v>733509.5362685743</v>
      </c>
      <c r="F8" s="19">
        <v>79.4905645665267</v>
      </c>
      <c r="G8" s="19">
        <v>662421.37138772255</v>
      </c>
      <c r="H8" s="19">
        <f t="shared" si="0"/>
        <v>71088.164880851749</v>
      </c>
      <c r="L8" s="14" t="s">
        <v>45</v>
      </c>
      <c r="M8" s="19">
        <v>733509.5362685743</v>
      </c>
      <c r="N8" s="19">
        <v>662421.37138772255</v>
      </c>
      <c r="O8" s="19">
        <v>71088.164880851749</v>
      </c>
    </row>
    <row r="9" spans="2:15" x14ac:dyDescent="0.25">
      <c r="B9" s="14" t="s">
        <v>46</v>
      </c>
      <c r="C9" s="17">
        <v>833333.33333333337</v>
      </c>
      <c r="D9" s="19">
        <v>88.091074433260928</v>
      </c>
      <c r="E9" s="19">
        <f t="shared" si="1"/>
        <v>734092.28694384114</v>
      </c>
      <c r="F9" s="19">
        <v>79.630424728590697</v>
      </c>
      <c r="G9" s="19">
        <v>663586.87273825577</v>
      </c>
      <c r="H9" s="19">
        <f t="shared" si="0"/>
        <v>70505.414205585374</v>
      </c>
      <c r="L9" s="14" t="s">
        <v>46</v>
      </c>
      <c r="M9" s="19">
        <v>734092.28694384114</v>
      </c>
      <c r="N9" s="19">
        <v>663586.87273825577</v>
      </c>
      <c r="O9" s="19">
        <v>70505.414205585374</v>
      </c>
    </row>
    <row r="10" spans="2:15" x14ac:dyDescent="0.25">
      <c r="B10" s="14" t="s">
        <v>47</v>
      </c>
      <c r="C10" s="17">
        <v>833333.33333333337</v>
      </c>
      <c r="D10" s="19">
        <v>87.2752796727641</v>
      </c>
      <c r="E10" s="19">
        <f t="shared" si="1"/>
        <v>727293.99727303407</v>
      </c>
      <c r="F10" s="19">
        <v>77.998835207597267</v>
      </c>
      <c r="G10" s="19">
        <v>649990.29339664395</v>
      </c>
      <c r="H10" s="19">
        <f t="shared" si="0"/>
        <v>77303.703876390122</v>
      </c>
      <c r="L10" s="14" t="s">
        <v>47</v>
      </c>
      <c r="M10" s="19">
        <v>727293.99727303407</v>
      </c>
      <c r="N10" s="19">
        <v>649990.29339664395</v>
      </c>
      <c r="O10" s="19">
        <v>77303.703876390122</v>
      </c>
    </row>
    <row r="11" spans="2:15" x14ac:dyDescent="0.25">
      <c r="B11" s="14" t="s">
        <v>48</v>
      </c>
      <c r="C11" s="17">
        <v>833333.33333333337</v>
      </c>
      <c r="D11" s="19">
        <v>90.0985790960857</v>
      </c>
      <c r="E11" s="19">
        <f t="shared" si="1"/>
        <v>750821.49246738094</v>
      </c>
      <c r="F11" s="19">
        <v>83.645434054240354</v>
      </c>
      <c r="G11" s="19">
        <v>697045.2837853363</v>
      </c>
      <c r="H11" s="19">
        <f t="shared" si="0"/>
        <v>53776.208682044642</v>
      </c>
      <c r="L11" s="14" t="s">
        <v>48</v>
      </c>
      <c r="M11" s="19">
        <v>750821.49246738094</v>
      </c>
      <c r="N11" s="19">
        <v>697045.2837853363</v>
      </c>
      <c r="O11" s="19">
        <v>53776.208682044642</v>
      </c>
    </row>
    <row r="12" spans="2:15" x14ac:dyDescent="0.25">
      <c r="B12" s="14" t="s">
        <v>49</v>
      </c>
      <c r="C12" s="17">
        <v>833333.33333333337</v>
      </c>
      <c r="D12" s="19">
        <v>90.172051452362098</v>
      </c>
      <c r="E12" s="19">
        <f t="shared" si="1"/>
        <v>751433.76210301742</v>
      </c>
      <c r="F12" s="19">
        <v>83.792378766793036</v>
      </c>
      <c r="G12" s="19">
        <v>698269.82305660855</v>
      </c>
      <c r="H12" s="19">
        <f t="shared" si="0"/>
        <v>53163.939046408865</v>
      </c>
      <c r="L12" s="14" t="s">
        <v>49</v>
      </c>
      <c r="M12" s="19">
        <v>751433.76210301742</v>
      </c>
      <c r="N12" s="19">
        <v>698269.82305660855</v>
      </c>
      <c r="O12" s="19">
        <v>53163.939046408865</v>
      </c>
    </row>
    <row r="13" spans="2:15" x14ac:dyDescent="0.25">
      <c r="B13" s="14" t="s">
        <v>50</v>
      </c>
      <c r="C13" s="17">
        <v>833333.33333333337</v>
      </c>
      <c r="D13" s="19">
        <v>89.854034065061114</v>
      </c>
      <c r="E13" s="19">
        <f t="shared" si="1"/>
        <v>748783.61720884265</v>
      </c>
      <c r="F13" s="19">
        <v>83.156343992191069</v>
      </c>
      <c r="G13" s="19">
        <v>692969.53326825891</v>
      </c>
      <c r="H13" s="19">
        <f t="shared" si="0"/>
        <v>55814.083940583747</v>
      </c>
      <c r="L13" s="14" t="s">
        <v>50</v>
      </c>
      <c r="M13" s="19">
        <v>748783.61720884265</v>
      </c>
      <c r="N13" s="19">
        <v>692969.53326825891</v>
      </c>
      <c r="O13" s="19">
        <v>55814.083940583747</v>
      </c>
    </row>
    <row r="14" spans="2:15" x14ac:dyDescent="0.25">
      <c r="B14" s="14" t="s">
        <v>51</v>
      </c>
      <c r="C14" s="17">
        <v>833333.33333333337</v>
      </c>
      <c r="D14" s="19">
        <v>90.365481297765086</v>
      </c>
      <c r="E14" s="19">
        <f t="shared" si="1"/>
        <v>753045.67748137575</v>
      </c>
      <c r="F14" s="19">
        <v>84.179238457599013</v>
      </c>
      <c r="G14" s="19">
        <v>701493.65381332522</v>
      </c>
      <c r="H14" s="19">
        <f t="shared" si="0"/>
        <v>51552.023668050533</v>
      </c>
      <c r="L14" s="14" t="s">
        <v>51</v>
      </c>
      <c r="M14" s="19">
        <v>753045.67748137575</v>
      </c>
      <c r="N14" s="19">
        <v>701493.65381332522</v>
      </c>
      <c r="O14" s="19">
        <v>51552.023668050533</v>
      </c>
    </row>
    <row r="15" spans="2:15" x14ac:dyDescent="0.25">
      <c r="B15" s="14" t="s">
        <v>52</v>
      </c>
      <c r="C15" s="17">
        <v>833333.33333333337</v>
      </c>
      <c r="D15" s="19">
        <v>91.25503597701163</v>
      </c>
      <c r="E15" s="19">
        <f t="shared" si="1"/>
        <v>760458.63314176351</v>
      </c>
      <c r="F15" s="19">
        <v>85.958347816092328</v>
      </c>
      <c r="G15" s="19">
        <v>716319.56513410283</v>
      </c>
      <c r="H15" s="19">
        <f t="shared" si="0"/>
        <v>44139.06800766068</v>
      </c>
      <c r="L15" s="14" t="s">
        <v>52</v>
      </c>
      <c r="M15" s="19">
        <v>760458.63314176351</v>
      </c>
      <c r="N15" s="19">
        <v>716319.56513410283</v>
      </c>
      <c r="O15" s="19">
        <v>44139.06800766068</v>
      </c>
    </row>
    <row r="16" spans="2:15" x14ac:dyDescent="0.25">
      <c r="B16" s="14" t="s">
        <v>53</v>
      </c>
      <c r="C16" s="17">
        <v>833333.33333333337</v>
      </c>
      <c r="D16" s="19">
        <v>87.990269542908095</v>
      </c>
      <c r="E16" s="19">
        <f t="shared" si="1"/>
        <v>733252.2461909008</v>
      </c>
      <c r="F16" s="19">
        <v>79.428814947885257</v>
      </c>
      <c r="G16" s="19">
        <v>661906.79123237717</v>
      </c>
      <c r="H16" s="19">
        <f t="shared" si="0"/>
        <v>71345.454958523624</v>
      </c>
      <c r="L16" s="14" t="s">
        <v>53</v>
      </c>
      <c r="M16" s="19">
        <v>733252.2461909008</v>
      </c>
      <c r="N16" s="19">
        <v>661906.79123237717</v>
      </c>
      <c r="O16" s="19">
        <v>71345.454958523624</v>
      </c>
    </row>
    <row r="19" spans="2:15" x14ac:dyDescent="0.25">
      <c r="D19" s="41" t="s">
        <v>65</v>
      </c>
      <c r="E19" s="41"/>
      <c r="F19" s="41"/>
      <c r="M19" s="41" t="s">
        <v>85</v>
      </c>
      <c r="N19" s="41"/>
    </row>
    <row r="21" spans="2:15" x14ac:dyDescent="0.25">
      <c r="B21" s="13" t="s">
        <v>40</v>
      </c>
      <c r="C21" s="17" t="s">
        <v>64</v>
      </c>
      <c r="D21" s="25" t="s">
        <v>76</v>
      </c>
      <c r="E21" s="25" t="s">
        <v>78</v>
      </c>
      <c r="F21" s="25" t="s">
        <v>77</v>
      </c>
      <c r="G21" s="25" t="s">
        <v>79</v>
      </c>
      <c r="H21" s="21" t="s">
        <v>80</v>
      </c>
      <c r="L21" s="13" t="s">
        <v>40</v>
      </c>
      <c r="M21" s="25" t="s">
        <v>78</v>
      </c>
      <c r="N21" s="25" t="s">
        <v>79</v>
      </c>
      <c r="O21" s="21" t="s">
        <v>74</v>
      </c>
    </row>
    <row r="22" spans="2:15" x14ac:dyDescent="0.25">
      <c r="B22" s="14" t="s">
        <v>42</v>
      </c>
      <c r="C22" s="17">
        <v>833333.33333333337</v>
      </c>
      <c r="D22" s="19">
        <v>91.131841303369356</v>
      </c>
      <c r="E22" s="19">
        <f>D22*100000/12</f>
        <v>759432.01086141123</v>
      </c>
      <c r="F22" s="19">
        <v>85.711958468807779</v>
      </c>
      <c r="G22" s="19">
        <v>714266.32057339826</v>
      </c>
      <c r="H22" s="19">
        <f t="shared" ref="H22:H33" si="2">E22-G22</f>
        <v>45165.690288012964</v>
      </c>
      <c r="L22" s="14" t="s">
        <v>42</v>
      </c>
      <c r="M22" s="19">
        <v>759432.01086141123</v>
      </c>
      <c r="N22" s="19">
        <v>714266.32057339826</v>
      </c>
      <c r="O22" s="19">
        <v>45165.690288012964</v>
      </c>
    </row>
    <row r="23" spans="2:15" x14ac:dyDescent="0.25">
      <c r="B23" s="14" t="s">
        <v>43</v>
      </c>
      <c r="C23" s="17">
        <v>833333.33333333337</v>
      </c>
      <c r="D23" s="19">
        <v>89.627530509201506</v>
      </c>
      <c r="E23" s="19">
        <f t="shared" ref="E23:E33" si="3">D23*100000/12</f>
        <v>746896.0875766793</v>
      </c>
      <c r="F23" s="19">
        <v>82.703336880471852</v>
      </c>
      <c r="G23" s="19">
        <v>689194.47400393209</v>
      </c>
      <c r="H23" s="19">
        <f t="shared" si="2"/>
        <v>57701.613572747214</v>
      </c>
      <c r="L23" s="14" t="s">
        <v>43</v>
      </c>
      <c r="M23" s="19">
        <v>746896.0875766793</v>
      </c>
      <c r="N23" s="19">
        <v>689194.47400393209</v>
      </c>
      <c r="O23" s="19">
        <v>57701.613572747214</v>
      </c>
    </row>
    <row r="24" spans="2:15" x14ac:dyDescent="0.25">
      <c r="B24" s="14" t="s">
        <v>44</v>
      </c>
      <c r="C24" s="17">
        <v>833333.33333333337</v>
      </c>
      <c r="D24" s="19">
        <v>92.56746940532048</v>
      </c>
      <c r="E24" s="19">
        <f t="shared" si="3"/>
        <v>771395.57837767061</v>
      </c>
      <c r="F24" s="19">
        <v>88.583214672709914</v>
      </c>
      <c r="G24" s="19">
        <v>738193.45560591586</v>
      </c>
      <c r="H24" s="19">
        <f t="shared" si="2"/>
        <v>33202.122771754744</v>
      </c>
      <c r="L24" s="14" t="s">
        <v>44</v>
      </c>
      <c r="M24" s="19">
        <v>771395.57837767061</v>
      </c>
      <c r="N24" s="19">
        <v>738193.45560591586</v>
      </c>
      <c r="O24" s="19">
        <v>33202.122771754744</v>
      </c>
    </row>
    <row r="25" spans="2:15" x14ac:dyDescent="0.25">
      <c r="B25" s="14" t="s">
        <v>45</v>
      </c>
      <c r="C25" s="17">
        <v>833333.33333333337</v>
      </c>
      <c r="D25" s="19">
        <v>95.637198390817389</v>
      </c>
      <c r="E25" s="19">
        <f t="shared" si="3"/>
        <v>796976.65325681155</v>
      </c>
      <c r="F25" s="19">
        <v>94.722672643703618</v>
      </c>
      <c r="G25" s="19">
        <v>789355.60536419682</v>
      </c>
      <c r="H25" s="19">
        <f t="shared" si="2"/>
        <v>7621.0478926147334</v>
      </c>
      <c r="L25" s="14" t="s">
        <v>45</v>
      </c>
      <c r="M25" s="19">
        <v>796976.65325681155</v>
      </c>
      <c r="N25" s="19">
        <v>789355.60536419682</v>
      </c>
      <c r="O25" s="19">
        <v>7621.0478926147334</v>
      </c>
    </row>
    <row r="26" spans="2:15" x14ac:dyDescent="0.25">
      <c r="B26" s="14" t="s">
        <v>46</v>
      </c>
      <c r="C26" s="17">
        <v>833333.33333333337</v>
      </c>
      <c r="D26" s="19">
        <v>96.743587689834499</v>
      </c>
      <c r="E26" s="19">
        <f t="shared" si="3"/>
        <v>806196.56408195419</v>
      </c>
      <c r="F26" s="19">
        <v>96.935451241738065</v>
      </c>
      <c r="G26" s="19">
        <v>807795.42701448395</v>
      </c>
      <c r="H26" s="19">
        <f t="shared" si="2"/>
        <v>-1598.8629325297661</v>
      </c>
      <c r="L26" s="14" t="s">
        <v>46</v>
      </c>
      <c r="M26" s="19">
        <v>806196.56408195419</v>
      </c>
      <c r="N26" s="19">
        <v>807795.42701448395</v>
      </c>
      <c r="O26" s="19">
        <v>-1598.8629325297661</v>
      </c>
    </row>
    <row r="27" spans="2:15" x14ac:dyDescent="0.25">
      <c r="B27" s="14" t="s">
        <v>47</v>
      </c>
      <c r="C27" s="17">
        <v>833333.33333333337</v>
      </c>
      <c r="D27" s="19">
        <v>96.973261970531212</v>
      </c>
      <c r="E27" s="19">
        <f t="shared" si="3"/>
        <v>808110.51642109349</v>
      </c>
      <c r="F27" s="19">
        <v>97.394799803131264</v>
      </c>
      <c r="G27" s="19">
        <v>811623.33169276046</v>
      </c>
      <c r="H27" s="19">
        <f t="shared" si="2"/>
        <v>-3512.815271666972</v>
      </c>
      <c r="L27" s="14" t="s">
        <v>47</v>
      </c>
      <c r="M27" s="19">
        <v>808110.51642109349</v>
      </c>
      <c r="N27" s="19">
        <v>811623.33169276046</v>
      </c>
      <c r="O27" s="19">
        <v>-3512.815271666972</v>
      </c>
    </row>
    <row r="28" spans="2:15" x14ac:dyDescent="0.25">
      <c r="B28" s="14" t="s">
        <v>48</v>
      </c>
      <c r="C28" s="17">
        <v>833333.33333333337</v>
      </c>
      <c r="D28" s="19">
        <v>100.85538094107847</v>
      </c>
      <c r="E28" s="19">
        <f t="shared" si="3"/>
        <v>840461.50784232048</v>
      </c>
      <c r="F28" s="19">
        <v>105.15903774422588</v>
      </c>
      <c r="G28" s="19">
        <v>876325.31453521561</v>
      </c>
      <c r="H28" s="19">
        <f t="shared" si="2"/>
        <v>-35863.80669289513</v>
      </c>
      <c r="L28" s="14" t="s">
        <v>48</v>
      </c>
      <c r="M28" s="19">
        <v>840461.50784232048</v>
      </c>
      <c r="N28" s="19">
        <v>876325.31453521561</v>
      </c>
      <c r="O28" s="19">
        <v>-35863.80669289513</v>
      </c>
    </row>
    <row r="29" spans="2:15" x14ac:dyDescent="0.25">
      <c r="B29" s="14" t="s">
        <v>49</v>
      </c>
      <c r="C29" s="17">
        <v>833333.33333333337</v>
      </c>
      <c r="D29" s="19">
        <v>102.00377336191423</v>
      </c>
      <c r="E29" s="19">
        <f t="shared" si="3"/>
        <v>850031.4446826186</v>
      </c>
      <c r="F29" s="19">
        <v>107.45582258589729</v>
      </c>
      <c r="G29" s="19">
        <v>895465.18821581081</v>
      </c>
      <c r="H29" s="19">
        <f t="shared" si="2"/>
        <v>-45433.743533192202</v>
      </c>
      <c r="L29" s="14" t="s">
        <v>49</v>
      </c>
      <c r="M29" s="19">
        <v>850031.4446826186</v>
      </c>
      <c r="N29" s="19">
        <v>895465.18821581081</v>
      </c>
      <c r="O29" s="19">
        <v>-45433.743533192202</v>
      </c>
    </row>
    <row r="30" spans="2:15" x14ac:dyDescent="0.25">
      <c r="B30" s="14" t="s">
        <v>50</v>
      </c>
      <c r="C30" s="17">
        <v>833333.33333333337</v>
      </c>
      <c r="D30" s="19">
        <v>102.77855783660823</v>
      </c>
      <c r="E30" s="19">
        <f t="shared" si="3"/>
        <v>856487.98197173525</v>
      </c>
      <c r="F30" s="19">
        <v>109.00539153528541</v>
      </c>
      <c r="G30" s="19">
        <v>908378.26279404515</v>
      </c>
      <c r="H30" s="19">
        <f t="shared" si="2"/>
        <v>-51890.280822309898</v>
      </c>
      <c r="L30" s="14" t="s">
        <v>50</v>
      </c>
      <c r="M30" s="19">
        <v>856487.98197173525</v>
      </c>
      <c r="N30" s="19">
        <v>908378.26279404515</v>
      </c>
      <c r="O30" s="19">
        <v>-51890.280822309898</v>
      </c>
    </row>
    <row r="31" spans="2:15" x14ac:dyDescent="0.25">
      <c r="B31" s="14" t="s">
        <v>51</v>
      </c>
      <c r="C31" s="17">
        <v>833333.33333333337</v>
      </c>
      <c r="D31" s="19">
        <v>104.40185126643064</v>
      </c>
      <c r="E31" s="19">
        <f t="shared" si="3"/>
        <v>870015.42722025525</v>
      </c>
      <c r="F31" s="19">
        <v>112.25197839493023</v>
      </c>
      <c r="G31" s="19">
        <v>935433.15329108527</v>
      </c>
      <c r="H31" s="19">
        <f t="shared" si="2"/>
        <v>-65417.726070830016</v>
      </c>
      <c r="L31" s="14" t="s">
        <v>51</v>
      </c>
      <c r="M31" s="19">
        <v>870015.42722025525</v>
      </c>
      <c r="N31" s="19">
        <v>935433.15329108527</v>
      </c>
      <c r="O31" s="19">
        <v>-65417.726070830016</v>
      </c>
    </row>
    <row r="32" spans="2:15" x14ac:dyDescent="0.25">
      <c r="B32" s="14" t="s">
        <v>52</v>
      </c>
      <c r="C32" s="17">
        <v>833333.33333333337</v>
      </c>
      <c r="D32" s="19">
        <v>106.42304925195185</v>
      </c>
      <c r="E32" s="19">
        <f t="shared" si="3"/>
        <v>886858.74376626546</v>
      </c>
      <c r="F32" s="19">
        <v>116.29437436597277</v>
      </c>
      <c r="G32" s="19">
        <v>969119.78638310637</v>
      </c>
      <c r="H32" s="19">
        <f t="shared" si="2"/>
        <v>-82261.042616840918</v>
      </c>
      <c r="L32" s="14" t="s">
        <v>52</v>
      </c>
      <c r="M32" s="19">
        <v>886858.74376626546</v>
      </c>
      <c r="N32" s="19">
        <v>969119.78638310637</v>
      </c>
      <c r="O32" s="19">
        <v>-82261.042616840918</v>
      </c>
    </row>
    <row r="33" spans="2:15" x14ac:dyDescent="0.25">
      <c r="B33" s="14" t="s">
        <v>53</v>
      </c>
      <c r="C33" s="17">
        <v>833333.33333333337</v>
      </c>
      <c r="D33" s="19">
        <v>104.31019696283511</v>
      </c>
      <c r="E33" s="19">
        <f t="shared" si="3"/>
        <v>869251.64135695912</v>
      </c>
      <c r="F33" s="19">
        <v>112.06866978773928</v>
      </c>
      <c r="G33" s="19">
        <v>933905.58156449394</v>
      </c>
      <c r="H33" s="19">
        <f t="shared" si="2"/>
        <v>-64653.940207534819</v>
      </c>
      <c r="L33" s="14" t="s">
        <v>53</v>
      </c>
      <c r="M33" s="19">
        <v>869251.64135695912</v>
      </c>
      <c r="N33" s="19">
        <v>933905.58156449394</v>
      </c>
      <c r="O33" s="19">
        <v>-64653.940207534819</v>
      </c>
    </row>
    <row r="36" spans="2:15" x14ac:dyDescent="0.25">
      <c r="D36" s="41" t="s">
        <v>67</v>
      </c>
      <c r="E36" s="41"/>
      <c r="F36" s="41"/>
      <c r="M36" s="41" t="s">
        <v>86</v>
      </c>
      <c r="N36" s="41"/>
    </row>
    <row r="38" spans="2:15" x14ac:dyDescent="0.25">
      <c r="B38" s="13" t="s">
        <v>40</v>
      </c>
      <c r="C38" s="17" t="s">
        <v>64</v>
      </c>
      <c r="D38" s="25" t="s">
        <v>76</v>
      </c>
      <c r="E38" s="25" t="s">
        <v>78</v>
      </c>
      <c r="F38" s="25" t="s">
        <v>77</v>
      </c>
      <c r="G38" s="25" t="s">
        <v>79</v>
      </c>
      <c r="H38" s="21" t="s">
        <v>80</v>
      </c>
      <c r="L38" s="13" t="s">
        <v>40</v>
      </c>
      <c r="M38" s="25" t="s">
        <v>78</v>
      </c>
      <c r="N38" s="25" t="s">
        <v>79</v>
      </c>
      <c r="O38" s="21" t="s">
        <v>74</v>
      </c>
    </row>
    <row r="39" spans="2:15" x14ac:dyDescent="0.25">
      <c r="B39" s="14" t="s">
        <v>42</v>
      </c>
      <c r="C39" s="17">
        <v>833333.33333333337</v>
      </c>
      <c r="D39" s="19">
        <v>82.219074754810322</v>
      </c>
      <c r="E39" s="19">
        <f>D39*100000/12</f>
        <v>685158.95629008603</v>
      </c>
      <c r="F39" s="19">
        <v>67.886425371689597</v>
      </c>
      <c r="G39" s="19">
        <v>565720.21143074671</v>
      </c>
      <c r="H39" s="19">
        <f t="shared" ref="H39:H50" si="4">E39-G39</f>
        <v>119438.74485933932</v>
      </c>
      <c r="L39" s="14" t="s">
        <v>42</v>
      </c>
      <c r="M39" s="19">
        <v>685158.95629008603</v>
      </c>
      <c r="N39" s="19">
        <v>565720.21143074671</v>
      </c>
      <c r="O39" s="19">
        <v>119438.74485933932</v>
      </c>
    </row>
    <row r="40" spans="2:15" x14ac:dyDescent="0.25">
      <c r="B40" s="14" t="s">
        <v>43</v>
      </c>
      <c r="C40" s="17">
        <v>833333.33333333337</v>
      </c>
      <c r="D40" s="19">
        <v>78.554889619038477</v>
      </c>
      <c r="E40" s="19">
        <f t="shared" ref="E40:E50" si="5">D40*100000/12</f>
        <v>654624.08015865402</v>
      </c>
      <c r="F40" s="19">
        <v>60.558055100145793</v>
      </c>
      <c r="G40" s="19">
        <v>504650.45916788164</v>
      </c>
      <c r="H40" s="19">
        <f t="shared" si="4"/>
        <v>149973.62099077238</v>
      </c>
      <c r="L40" s="14" t="s">
        <v>43</v>
      </c>
      <c r="M40" s="19">
        <v>654624.08015865402</v>
      </c>
      <c r="N40" s="19">
        <v>504650.45916788164</v>
      </c>
      <c r="O40" s="19">
        <v>149973.62099077238</v>
      </c>
    </row>
    <row r="41" spans="2:15" x14ac:dyDescent="0.25">
      <c r="B41" s="14" t="s">
        <v>44</v>
      </c>
      <c r="C41" s="17">
        <v>833333.33333333337</v>
      </c>
      <c r="D41" s="19">
        <v>79.404512411928067</v>
      </c>
      <c r="E41" s="19">
        <f t="shared" si="5"/>
        <v>661704.27009940054</v>
      </c>
      <c r="F41" s="19">
        <v>62.257300685925088</v>
      </c>
      <c r="G41" s="19">
        <v>518810.83904937579</v>
      </c>
      <c r="H41" s="19">
        <f t="shared" si="4"/>
        <v>142893.43105002475</v>
      </c>
      <c r="L41" s="14" t="s">
        <v>44</v>
      </c>
      <c r="M41" s="19">
        <v>661704.27009940054</v>
      </c>
      <c r="N41" s="19">
        <v>518810.83904937579</v>
      </c>
      <c r="O41" s="19">
        <v>142893.43105002475</v>
      </c>
    </row>
    <row r="42" spans="2:15" x14ac:dyDescent="0.25">
      <c r="B42" s="14" t="s">
        <v>45</v>
      </c>
      <c r="C42" s="17">
        <v>833333.33333333337</v>
      </c>
      <c r="D42" s="19">
        <v>80.405090313640471</v>
      </c>
      <c r="E42" s="19">
        <f t="shared" si="5"/>
        <v>670042.41928033729</v>
      </c>
      <c r="F42" s="19">
        <v>64.258456489349783</v>
      </c>
      <c r="G42" s="19">
        <v>535487.13741124817</v>
      </c>
      <c r="H42" s="19">
        <f t="shared" si="4"/>
        <v>134555.28186908911</v>
      </c>
      <c r="L42" s="14" t="s">
        <v>45</v>
      </c>
      <c r="M42" s="19">
        <v>670042.41928033729</v>
      </c>
      <c r="N42" s="19">
        <v>535487.13741124817</v>
      </c>
      <c r="O42" s="19">
        <v>134555.28186908911</v>
      </c>
    </row>
    <row r="43" spans="2:15" x14ac:dyDescent="0.25">
      <c r="B43" s="14" t="s">
        <v>46</v>
      </c>
      <c r="C43" s="17">
        <v>833333.33333333337</v>
      </c>
      <c r="D43" s="19">
        <v>79.438561176687244</v>
      </c>
      <c r="E43" s="19">
        <f t="shared" si="5"/>
        <v>661988.00980572705</v>
      </c>
      <c r="F43" s="19">
        <v>62.325398215443556</v>
      </c>
      <c r="G43" s="19">
        <v>519378.31846202962</v>
      </c>
      <c r="H43" s="19">
        <f t="shared" si="4"/>
        <v>142609.69134369743</v>
      </c>
      <c r="L43" s="14" t="s">
        <v>46</v>
      </c>
      <c r="M43" s="19">
        <v>661988.00980572705</v>
      </c>
      <c r="N43" s="19">
        <v>519378.31846202962</v>
      </c>
      <c r="O43" s="19">
        <v>142609.69134369743</v>
      </c>
    </row>
    <row r="44" spans="2:15" x14ac:dyDescent="0.25">
      <c r="B44" s="14" t="s">
        <v>47</v>
      </c>
      <c r="C44" s="17">
        <v>833333.33333333337</v>
      </c>
      <c r="D44" s="19">
        <v>77.577297374997102</v>
      </c>
      <c r="E44" s="19">
        <f t="shared" si="5"/>
        <v>646477.47812497581</v>
      </c>
      <c r="F44" s="19">
        <v>58.602870612063157</v>
      </c>
      <c r="G44" s="19">
        <v>488357.25510052632</v>
      </c>
      <c r="H44" s="19">
        <f t="shared" si="4"/>
        <v>158120.22302444949</v>
      </c>
      <c r="L44" s="14" t="s">
        <v>47</v>
      </c>
      <c r="M44" s="19">
        <v>646477.47812497581</v>
      </c>
      <c r="N44" s="19">
        <v>488357.25510052632</v>
      </c>
      <c r="O44" s="19">
        <v>158120.22302444949</v>
      </c>
    </row>
    <row r="45" spans="2:15" x14ac:dyDescent="0.25">
      <c r="B45" s="14" t="s">
        <v>48</v>
      </c>
      <c r="C45" s="17">
        <v>833333.33333333337</v>
      </c>
      <c r="D45" s="19">
        <v>79.341777251092822</v>
      </c>
      <c r="E45" s="19">
        <f t="shared" si="5"/>
        <v>661181.47709244012</v>
      </c>
      <c r="F45" s="19">
        <v>62.131830364254711</v>
      </c>
      <c r="G45" s="19">
        <v>517765.25303545594</v>
      </c>
      <c r="H45" s="19">
        <f t="shared" si="4"/>
        <v>143416.22405698418</v>
      </c>
      <c r="L45" s="14" t="s">
        <v>48</v>
      </c>
      <c r="M45" s="19">
        <v>661181.47709244012</v>
      </c>
      <c r="N45" s="19">
        <v>517765.25303545594</v>
      </c>
      <c r="O45" s="19">
        <v>143416.22405698418</v>
      </c>
    </row>
    <row r="46" spans="2:15" x14ac:dyDescent="0.25">
      <c r="B46" s="14" t="s">
        <v>49</v>
      </c>
      <c r="C46" s="17">
        <v>833333.33333333337</v>
      </c>
      <c r="D46" s="19">
        <v>78.340329542809968</v>
      </c>
      <c r="E46" s="19">
        <f t="shared" si="5"/>
        <v>652836.07952341635</v>
      </c>
      <c r="F46" s="19">
        <v>60.12893494768889</v>
      </c>
      <c r="G46" s="19">
        <v>501074.45789740741</v>
      </c>
      <c r="H46" s="19">
        <f t="shared" si="4"/>
        <v>151761.62162600894</v>
      </c>
      <c r="L46" s="14" t="s">
        <v>49</v>
      </c>
      <c r="M46" s="19">
        <v>652836.07952341635</v>
      </c>
      <c r="N46" s="19">
        <v>501074.45789740741</v>
      </c>
      <c r="O46" s="19">
        <v>151761.62162600894</v>
      </c>
    </row>
    <row r="47" spans="2:15" x14ac:dyDescent="0.25">
      <c r="B47" s="14" t="s">
        <v>50</v>
      </c>
      <c r="C47" s="17">
        <v>833333.33333333337</v>
      </c>
      <c r="D47" s="19">
        <v>76.929510293513886</v>
      </c>
      <c r="E47" s="19">
        <f t="shared" si="5"/>
        <v>641079.25244594913</v>
      </c>
      <c r="F47" s="19">
        <v>57.307296449096839</v>
      </c>
      <c r="G47" s="19">
        <v>477560.80374247365</v>
      </c>
      <c r="H47" s="19">
        <f t="shared" si="4"/>
        <v>163518.44870347547</v>
      </c>
      <c r="L47" s="14" t="s">
        <v>50</v>
      </c>
      <c r="M47" s="19">
        <v>641079.25244594913</v>
      </c>
      <c r="N47" s="19">
        <v>477560.80374247365</v>
      </c>
      <c r="O47" s="19">
        <v>163518.44870347547</v>
      </c>
    </row>
    <row r="48" spans="2:15" x14ac:dyDescent="0.25">
      <c r="B48" s="14" t="s">
        <v>51</v>
      </c>
      <c r="C48" s="17">
        <v>833333.33333333337</v>
      </c>
      <c r="D48" s="19">
        <v>76.329111329099533</v>
      </c>
      <c r="E48" s="19">
        <f t="shared" si="5"/>
        <v>636075.92774249613</v>
      </c>
      <c r="F48" s="19">
        <v>56.106498520267905</v>
      </c>
      <c r="G48" s="19">
        <v>467554.15433556587</v>
      </c>
      <c r="H48" s="19">
        <f t="shared" si="4"/>
        <v>168521.77340693027</v>
      </c>
      <c r="L48" s="14" t="s">
        <v>51</v>
      </c>
      <c r="M48" s="19">
        <v>636075.92774249613</v>
      </c>
      <c r="N48" s="19">
        <v>467554.15433556587</v>
      </c>
      <c r="O48" s="19">
        <v>168521.77340693027</v>
      </c>
    </row>
    <row r="49" spans="2:15" x14ac:dyDescent="0.25">
      <c r="B49" s="14" t="s">
        <v>52</v>
      </c>
      <c r="C49" s="17">
        <v>833333.33333333337</v>
      </c>
      <c r="D49" s="19">
        <v>76.087022702071408</v>
      </c>
      <c r="E49" s="19">
        <f t="shared" si="5"/>
        <v>634058.52251726168</v>
      </c>
      <c r="F49" s="19">
        <v>55.622321266211884</v>
      </c>
      <c r="G49" s="19">
        <v>463519.34388509905</v>
      </c>
      <c r="H49" s="19">
        <f t="shared" si="4"/>
        <v>170539.17863216263</v>
      </c>
      <c r="L49" s="14" t="s">
        <v>52</v>
      </c>
      <c r="M49" s="19">
        <v>634058.52251726168</v>
      </c>
      <c r="N49" s="19">
        <v>463519.34388509905</v>
      </c>
      <c r="O49" s="19">
        <v>170539.17863216263</v>
      </c>
    </row>
    <row r="50" spans="2:15" x14ac:dyDescent="0.25">
      <c r="B50" s="14" t="s">
        <v>53</v>
      </c>
      <c r="C50" s="17">
        <v>833333.33333333337</v>
      </c>
      <c r="D50" s="19">
        <v>71.670342122981083</v>
      </c>
      <c r="E50" s="19">
        <f t="shared" si="5"/>
        <v>597252.85102484236</v>
      </c>
      <c r="F50" s="19">
        <v>46.788960108031119</v>
      </c>
      <c r="G50" s="19">
        <v>389908.0009002593</v>
      </c>
      <c r="H50" s="19">
        <f t="shared" si="4"/>
        <v>207344.85012458306</v>
      </c>
      <c r="L50" s="14" t="s">
        <v>53</v>
      </c>
      <c r="M50" s="19">
        <v>597252.85102484236</v>
      </c>
      <c r="N50" s="19">
        <v>389908.0009002593</v>
      </c>
      <c r="O50" s="19">
        <v>207344.85012458306</v>
      </c>
    </row>
  </sheetData>
  <mergeCells count="6">
    <mergeCell ref="D2:F2"/>
    <mergeCell ref="D19:F19"/>
    <mergeCell ref="D36:F36"/>
    <mergeCell ref="M2:N2"/>
    <mergeCell ref="M19:N19"/>
    <mergeCell ref="M36:N36"/>
  </mergeCells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3" operator="containsText" id="{31FC545A-A17E-4370-A2E9-04FB7BD05284}">
            <xm:f>NOT(ISERROR(SEARCH("-",O5)))</xm:f>
            <xm:f>"-"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O5:O16</xm:sqref>
        </x14:conditionalFormatting>
        <x14:conditionalFormatting xmlns:xm="http://schemas.microsoft.com/office/excel/2006/main">
          <x14:cfRule type="containsText" priority="2" operator="containsText" id="{DEE86AAA-D643-4EA3-8260-B29227656FD3}">
            <xm:f>NOT(ISERROR(SEARCH("-",O22)))</xm:f>
            <xm:f>"-"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O22:O33</xm:sqref>
        </x14:conditionalFormatting>
        <x14:conditionalFormatting xmlns:xm="http://schemas.microsoft.com/office/excel/2006/main">
          <x14:cfRule type="containsText" priority="1" operator="containsText" id="{5F505A81-408F-4B55-8A3E-E3C3E574A7F7}">
            <xm:f>NOT(ISERROR(SEARCH("-",H22)))</xm:f>
            <xm:f>"-"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H22:H33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4A50B-83C3-4D39-BC18-80CC2B0A934E}">
  <dimension ref="B2:Q33"/>
  <sheetViews>
    <sheetView tabSelected="1" topLeftCell="A17" workbookViewId="0">
      <selection activeCell="L25" sqref="L25"/>
    </sheetView>
  </sheetViews>
  <sheetFormatPr defaultRowHeight="15" x14ac:dyDescent="0.25"/>
  <cols>
    <col min="3" max="3" width="13.28515625" bestFit="1" customWidth="1"/>
    <col min="4" max="4" width="16" bestFit="1" customWidth="1"/>
    <col min="5" max="5" width="14.85546875" bestFit="1" customWidth="1"/>
    <col min="6" max="6" width="16.85546875" bestFit="1" customWidth="1"/>
    <col min="14" max="14" width="10.85546875" bestFit="1" customWidth="1"/>
    <col min="15" max="15" width="15.7109375" bestFit="1" customWidth="1"/>
    <col min="16" max="16" width="13.42578125" bestFit="1" customWidth="1"/>
    <col min="17" max="17" width="14.85546875" bestFit="1" customWidth="1"/>
  </cols>
  <sheetData>
    <row r="2" spans="2:17" x14ac:dyDescent="0.25">
      <c r="N2" s="41" t="s">
        <v>115</v>
      </c>
      <c r="O2" s="41"/>
      <c r="P2" s="41"/>
    </row>
    <row r="3" spans="2:17" x14ac:dyDescent="0.25">
      <c r="B3" s="24"/>
      <c r="C3" s="41" t="s">
        <v>66</v>
      </c>
      <c r="D3" s="41"/>
      <c r="E3" s="41"/>
    </row>
    <row r="4" spans="2:17" x14ac:dyDescent="0.25">
      <c r="B4" s="24"/>
      <c r="C4" s="24"/>
      <c r="D4" s="24"/>
      <c r="E4" s="24"/>
      <c r="N4" s="38" t="s">
        <v>109</v>
      </c>
      <c r="O4" s="38" t="s">
        <v>82</v>
      </c>
      <c r="P4" s="38" t="s">
        <v>114</v>
      </c>
      <c r="Q4" s="38" t="s">
        <v>113</v>
      </c>
    </row>
    <row r="5" spans="2:17" x14ac:dyDescent="0.25">
      <c r="B5" s="21" t="s">
        <v>68</v>
      </c>
      <c r="C5" s="30" t="s">
        <v>76</v>
      </c>
      <c r="D5" s="30" t="s">
        <v>77</v>
      </c>
      <c r="E5" s="30" t="s">
        <v>74</v>
      </c>
      <c r="F5" s="30" t="s">
        <v>95</v>
      </c>
      <c r="H5" s="50" t="s">
        <v>102</v>
      </c>
      <c r="I5" s="50"/>
      <c r="J5" s="50"/>
      <c r="K5" s="50"/>
      <c r="L5" s="19">
        <f>SUM(E6:E9)</f>
        <v>822875.67303242604</v>
      </c>
      <c r="N5" s="38" t="s">
        <v>110</v>
      </c>
      <c r="O5" s="19">
        <f>MIN(D6:D9)</f>
        <v>1865417.8799156244</v>
      </c>
      <c r="P5" s="19">
        <f>MIN(C6:C9)</f>
        <v>2139605.4916819511</v>
      </c>
      <c r="Q5" s="19">
        <f>P5-O5</f>
        <v>274187.61176632671</v>
      </c>
    </row>
    <row r="6" spans="2:17" x14ac:dyDescent="0.25">
      <c r="B6" s="17">
        <v>1</v>
      </c>
      <c r="C6" s="19">
        <f>SUM('Monthly Hedging Impact'!E5:E7)</f>
        <v>2139605.4916819511</v>
      </c>
      <c r="D6" s="19">
        <f>SUM('Per Unit &amp; Monthly FX Impact'!N6:N8)</f>
        <v>1865417.8799156244</v>
      </c>
      <c r="E6" s="19">
        <f>C6-D6</f>
        <v>274187.61176632671</v>
      </c>
      <c r="F6" s="31">
        <f>E6/D6</f>
        <v>0.14698455221128717</v>
      </c>
      <c r="H6" s="50" t="s">
        <v>100</v>
      </c>
      <c r="I6" s="50"/>
      <c r="J6" s="50"/>
      <c r="K6" s="50"/>
      <c r="L6" s="19">
        <f>MAX(E6:E9)</f>
        <v>274187.61176632671</v>
      </c>
      <c r="N6" s="38" t="s">
        <v>111</v>
      </c>
      <c r="O6" s="19">
        <f>MIN(D17:D20)</f>
        <v>2141654.2501832461</v>
      </c>
      <c r="P6" s="19">
        <f>MIN(C17:C20)</f>
        <v>2277723.6768157613</v>
      </c>
      <c r="Q6" s="19">
        <f>P6-O6</f>
        <v>136069.42663251515</v>
      </c>
    </row>
    <row r="7" spans="2:17" x14ac:dyDescent="0.25">
      <c r="B7" s="17">
        <v>2</v>
      </c>
      <c r="C7" s="19">
        <f>SUM('Monthly Hedging Impact'!E8:E10)</f>
        <v>2194895.8204854494</v>
      </c>
      <c r="D7" s="19">
        <f>SUM('Per Unit &amp; Monthly FX Impact'!N9:N11)</f>
        <v>1975998.5375226224</v>
      </c>
      <c r="E7" s="19">
        <f t="shared" ref="E7:E9" si="0">C7-D7</f>
        <v>218897.28296282701</v>
      </c>
      <c r="F7" s="31">
        <f t="shared" ref="F7:F9" si="1">E7/D7</f>
        <v>0.11077805919698003</v>
      </c>
      <c r="H7" s="50" t="s">
        <v>101</v>
      </c>
      <c r="I7" s="50"/>
      <c r="J7" s="50"/>
      <c r="K7" s="50"/>
      <c r="L7" s="33">
        <f>L6/'Quarterly FX Impact'!K5*-1</f>
        <v>0.43207585446918995</v>
      </c>
      <c r="N7" s="38" t="s">
        <v>112</v>
      </c>
      <c r="O7" s="19">
        <f>MIN(D28:D31)</f>
        <v>1320981.4991209242</v>
      </c>
      <c r="P7" s="19">
        <f>MIN(C28:C31)</f>
        <v>1867387.3012846</v>
      </c>
      <c r="Q7" s="19">
        <f>P7-O7</f>
        <v>546405.80216367589</v>
      </c>
    </row>
    <row r="8" spans="2:17" x14ac:dyDescent="0.25">
      <c r="B8" s="17">
        <v>3</v>
      </c>
      <c r="C8" s="19">
        <f>SUM('Monthly Hedging Impact'!E11:E13)</f>
        <v>2251038.8717792411</v>
      </c>
      <c r="D8" s="19">
        <f>SUM('Per Unit &amp; Monthly FX Impact'!N12:N14)</f>
        <v>2088284.6401102038</v>
      </c>
      <c r="E8" s="19">
        <f t="shared" si="0"/>
        <v>162754.23166903737</v>
      </c>
      <c r="F8" s="31">
        <f t="shared" si="1"/>
        <v>7.7936804467636386E-2</v>
      </c>
      <c r="H8" s="50" t="s">
        <v>104</v>
      </c>
      <c r="I8" s="50"/>
      <c r="J8" s="50"/>
      <c r="K8" s="50"/>
      <c r="L8" s="19">
        <f>MAX(E6:E9)-MIN(E6:E9)</f>
        <v>111433.38009728934</v>
      </c>
    </row>
    <row r="9" spans="2:17" x14ac:dyDescent="0.25">
      <c r="B9" s="17">
        <v>4</v>
      </c>
      <c r="C9" s="19">
        <f>SUM('Monthly Hedging Impact'!E14:E16)</f>
        <v>2246756.5568140401</v>
      </c>
      <c r="D9" s="19">
        <f>SUM('Per Unit &amp; Monthly FX Impact'!N15:N17)</f>
        <v>2079720.0101798051</v>
      </c>
      <c r="E9" s="19">
        <f t="shared" si="0"/>
        <v>167036.54663423495</v>
      </c>
      <c r="F9" s="31">
        <f t="shared" si="1"/>
        <v>8.0316843525390508E-2</v>
      </c>
      <c r="H9" s="51" t="s">
        <v>103</v>
      </c>
      <c r="I9" s="52"/>
      <c r="J9" s="52"/>
      <c r="K9" s="53"/>
      <c r="L9" s="19">
        <v>222866.76019457937</v>
      </c>
    </row>
    <row r="10" spans="2:17" x14ac:dyDescent="0.25">
      <c r="H10" s="50" t="s">
        <v>105</v>
      </c>
      <c r="I10" s="50"/>
      <c r="J10" s="50"/>
      <c r="K10" s="50"/>
      <c r="L10" s="31">
        <f>L8/L9</f>
        <v>0.49999999999999845</v>
      </c>
      <c r="N10" s="32">
        <f>MAX(D6:D9)</f>
        <v>2088284.6401102038</v>
      </c>
    </row>
    <row r="11" spans="2:17" s="29" customFormat="1" x14ac:dyDescent="0.25">
      <c r="H11" s="34"/>
      <c r="I11" s="34"/>
      <c r="J11" s="34"/>
      <c r="K11" s="34"/>
      <c r="L11" s="35"/>
      <c r="N11" s="32">
        <f>MIN(D6:D9)</f>
        <v>1865417.8799156244</v>
      </c>
    </row>
    <row r="12" spans="2:17" s="29" customFormat="1" x14ac:dyDescent="0.25">
      <c r="H12" s="34"/>
      <c r="I12" s="34"/>
      <c r="J12" s="34"/>
      <c r="K12" s="34"/>
      <c r="L12" s="35"/>
    </row>
    <row r="14" spans="2:17" x14ac:dyDescent="0.25">
      <c r="C14" s="41" t="s">
        <v>65</v>
      </c>
      <c r="D14" s="41"/>
      <c r="E14" s="41"/>
    </row>
    <row r="16" spans="2:17" x14ac:dyDescent="0.25">
      <c r="B16" s="21" t="s">
        <v>68</v>
      </c>
      <c r="C16" s="30" t="s">
        <v>76</v>
      </c>
      <c r="D16" s="30" t="s">
        <v>77</v>
      </c>
      <c r="E16" s="30" t="s">
        <v>74</v>
      </c>
      <c r="F16" s="30" t="s">
        <v>95</v>
      </c>
      <c r="H16" s="50" t="s">
        <v>102</v>
      </c>
      <c r="I16" s="50"/>
      <c r="J16" s="50"/>
      <c r="K16" s="50"/>
      <c r="L16" s="19">
        <f>SUM(E17:E20)</f>
        <v>-206941.74362267042</v>
      </c>
    </row>
    <row r="17" spans="2:16" x14ac:dyDescent="0.25">
      <c r="B17" s="17">
        <v>1</v>
      </c>
      <c r="C17" s="19">
        <f>SUM('Monthly Hedging Impact'!E22:E24)</f>
        <v>2277723.6768157613</v>
      </c>
      <c r="D17" s="19">
        <v>2141654.2501832461</v>
      </c>
      <c r="E17" s="19">
        <f>C17-D17</f>
        <v>136069.42663251515</v>
      </c>
      <c r="F17" s="31">
        <f>E17/D17</f>
        <v>6.3534730977641549E-2</v>
      </c>
      <c r="H17" s="50" t="s">
        <v>100</v>
      </c>
      <c r="I17" s="50"/>
      <c r="J17" s="50"/>
      <c r="K17" s="50"/>
      <c r="L17" s="19">
        <f>MAX(E17:E20)</f>
        <v>136069.42663251515</v>
      </c>
    </row>
    <row r="18" spans="2:16" x14ac:dyDescent="0.25">
      <c r="B18" s="17">
        <v>2</v>
      </c>
      <c r="C18" s="19">
        <f>SUM('Monthly Hedging Impact'!E25:E27)</f>
        <v>2411283.7337598591</v>
      </c>
      <c r="D18" s="19">
        <v>2408774.3640714413</v>
      </c>
      <c r="E18" s="19">
        <f t="shared" ref="E18:E20" si="2">C18-D18</f>
        <v>2509.3696884177625</v>
      </c>
      <c r="F18" s="31">
        <f t="shared" ref="F18:F20" si="3">E18/D18</f>
        <v>1.0417620370952012E-3</v>
      </c>
      <c r="H18" s="50" t="s">
        <v>101</v>
      </c>
      <c r="I18" s="50"/>
      <c r="J18" s="50"/>
      <c r="K18" s="50"/>
      <c r="L18" s="33">
        <f>L17/'Quarterly FX Impact'!K14*-1</f>
        <v>0.37971547507427261</v>
      </c>
    </row>
    <row r="19" spans="2:16" x14ac:dyDescent="0.25">
      <c r="B19" s="17">
        <v>3</v>
      </c>
      <c r="C19" s="19">
        <f>SUM('Monthly Hedging Impact'!E28:E30)</f>
        <v>2546980.9344966742</v>
      </c>
      <c r="D19" s="19">
        <v>2680168.7655450716</v>
      </c>
      <c r="E19" s="19">
        <f t="shared" si="2"/>
        <v>-133187.83104839735</v>
      </c>
      <c r="F19" s="31">
        <f t="shared" si="3"/>
        <v>-4.9693822553487844E-2</v>
      </c>
      <c r="H19" s="50" t="s">
        <v>104</v>
      </c>
      <c r="I19" s="50"/>
      <c r="J19" s="50"/>
      <c r="K19" s="50"/>
      <c r="L19" s="19">
        <f>MAX(E17:E20)-MIN(E17:E20)</f>
        <v>348402.13552772114</v>
      </c>
    </row>
    <row r="20" spans="2:16" x14ac:dyDescent="0.25">
      <c r="B20" s="17">
        <v>4</v>
      </c>
      <c r="C20" s="19">
        <f>SUM('Monthly Hedging Impact'!E31:E33)</f>
        <v>2626125.8123434796</v>
      </c>
      <c r="D20" s="19">
        <v>2838458.5212386856</v>
      </c>
      <c r="E20" s="19">
        <f t="shared" si="2"/>
        <v>-212332.70889520599</v>
      </c>
      <c r="F20" s="31">
        <f t="shared" si="3"/>
        <v>-7.4805640916163652E-2</v>
      </c>
      <c r="H20" s="51" t="s">
        <v>103</v>
      </c>
      <c r="I20" s="52"/>
      <c r="J20" s="52"/>
      <c r="K20" s="53"/>
      <c r="L20" s="19">
        <v>696804.27105543949</v>
      </c>
      <c r="P20" s="32"/>
    </row>
    <row r="21" spans="2:16" x14ac:dyDescent="0.25">
      <c r="H21" s="50" t="s">
        <v>105</v>
      </c>
      <c r="I21" s="50"/>
      <c r="J21" s="50"/>
      <c r="K21" s="50"/>
      <c r="L21" s="31">
        <f>L19/L20</f>
        <v>0.500000000000002</v>
      </c>
      <c r="N21" s="32">
        <f>MAX(D17:D20)</f>
        <v>2838458.5212386856</v>
      </c>
    </row>
    <row r="22" spans="2:16" s="29" customFormat="1" x14ac:dyDescent="0.25">
      <c r="H22" s="34"/>
      <c r="I22" s="34"/>
      <c r="J22" s="34"/>
      <c r="K22" s="34"/>
      <c r="L22" s="35"/>
      <c r="N22" s="32">
        <f>MIN(D17:D20)</f>
        <v>2141654.2501832461</v>
      </c>
    </row>
    <row r="23" spans="2:16" s="29" customFormat="1" x14ac:dyDescent="0.25">
      <c r="H23" s="34"/>
      <c r="I23" s="34"/>
      <c r="J23" s="34"/>
      <c r="K23" s="34"/>
      <c r="L23" s="35"/>
    </row>
    <row r="25" spans="2:16" x14ac:dyDescent="0.25">
      <c r="C25" s="41" t="s">
        <v>67</v>
      </c>
      <c r="D25" s="41"/>
      <c r="E25" s="41"/>
    </row>
    <row r="27" spans="2:16" x14ac:dyDescent="0.25">
      <c r="B27" s="21" t="s">
        <v>68</v>
      </c>
      <c r="C27" s="30" t="s">
        <v>76</v>
      </c>
      <c r="D27" s="30" t="s">
        <v>77</v>
      </c>
      <c r="E27" s="30" t="s">
        <v>74</v>
      </c>
      <c r="F27" s="30" t="s">
        <v>95</v>
      </c>
      <c r="H27" s="50" t="s">
        <v>102</v>
      </c>
      <c r="I27" s="50"/>
      <c r="J27" s="50"/>
      <c r="K27" s="50"/>
      <c r="L27" s="19">
        <f>SUM(E28:E31)</f>
        <v>1852693.0896875167</v>
      </c>
    </row>
    <row r="28" spans="2:16" x14ac:dyDescent="0.25">
      <c r="B28" s="17">
        <v>1</v>
      </c>
      <c r="C28" s="19">
        <f>SUM('Monthly Hedging Impact'!E39:E41)</f>
        <v>2001487.3065481405</v>
      </c>
      <c r="D28" s="19">
        <v>1589181.5096480043</v>
      </c>
      <c r="E28" s="19">
        <f>C28-D28</f>
        <v>412305.79690013616</v>
      </c>
      <c r="F28" s="31">
        <f>E28/D28</f>
        <v>0.25944537763433945</v>
      </c>
      <c r="H28" s="50" t="s">
        <v>100</v>
      </c>
      <c r="I28" s="50"/>
      <c r="J28" s="50"/>
      <c r="K28" s="50"/>
      <c r="L28" s="19">
        <f>MAX(E28:E31)</f>
        <v>546405.80216367589</v>
      </c>
      <c r="N28" s="32">
        <f>MAX(C28:C31)</f>
        <v>2001487.3065481405</v>
      </c>
    </row>
    <row r="29" spans="2:16" x14ac:dyDescent="0.25">
      <c r="B29" s="17">
        <v>2</v>
      </c>
      <c r="C29" s="19">
        <f>SUM('Monthly Hedging Impact'!E42:E44)</f>
        <v>1978507.9072110401</v>
      </c>
      <c r="D29" s="19">
        <v>1543222.7109738041</v>
      </c>
      <c r="E29" s="19">
        <f t="shared" ref="E29:E31" si="4">C29-D29</f>
        <v>435285.19623723603</v>
      </c>
      <c r="F29" s="31">
        <f t="shared" ref="F29:F31" si="5">E29/D29</f>
        <v>0.28206246132974705</v>
      </c>
      <c r="H29" s="50" t="s">
        <v>101</v>
      </c>
      <c r="I29" s="50"/>
      <c r="J29" s="50"/>
      <c r="K29" s="50"/>
      <c r="L29" s="33">
        <f>L28/'Quarterly FX Impact'!K22*-1</f>
        <v>0.46344124520206925</v>
      </c>
      <c r="N29" s="32">
        <f>MIN(C28:C31)</f>
        <v>1867387.3012846</v>
      </c>
    </row>
    <row r="30" spans="2:16" x14ac:dyDescent="0.25">
      <c r="B30" s="17">
        <v>3</v>
      </c>
      <c r="C30" s="19">
        <f>SUM('Monthly Hedging Impact'!E45:E47)</f>
        <v>1955096.8090618057</v>
      </c>
      <c r="D30" s="19">
        <v>1496400.5146753371</v>
      </c>
      <c r="E30" s="19">
        <f t="shared" si="4"/>
        <v>458696.29438646859</v>
      </c>
      <c r="F30" s="31">
        <f t="shared" si="5"/>
        <v>0.30653310386356591</v>
      </c>
      <c r="H30" s="50" t="s">
        <v>104</v>
      </c>
      <c r="I30" s="50"/>
      <c r="J30" s="50"/>
      <c r="K30" s="50"/>
      <c r="L30" s="19">
        <f>MAX(E28:E31)-MIN(E28:E31)</f>
        <v>134100.00526353973</v>
      </c>
    </row>
    <row r="31" spans="2:16" x14ac:dyDescent="0.25">
      <c r="B31" s="17">
        <v>4</v>
      </c>
      <c r="C31" s="19">
        <f>SUM('Monthly Hedging Impact'!E48:E50)</f>
        <v>1867387.3012846</v>
      </c>
      <c r="D31" s="19">
        <v>1320981.4991209242</v>
      </c>
      <c r="E31" s="19">
        <f t="shared" si="4"/>
        <v>546405.80216367589</v>
      </c>
      <c r="F31" s="31">
        <f t="shared" si="5"/>
        <v>0.41363622619036944</v>
      </c>
      <c r="H31" s="50" t="s">
        <v>103</v>
      </c>
      <c r="I31" s="50"/>
      <c r="J31" s="50"/>
      <c r="K31" s="50"/>
      <c r="L31" s="19">
        <v>268200.01052708016</v>
      </c>
    </row>
    <row r="32" spans="2:16" x14ac:dyDescent="0.25">
      <c r="H32" s="50" t="s">
        <v>105</v>
      </c>
      <c r="I32" s="50"/>
      <c r="J32" s="50"/>
      <c r="K32" s="50"/>
      <c r="L32" s="31">
        <f>L30/L31</f>
        <v>0.49999999999999872</v>
      </c>
      <c r="N32" s="32">
        <f>MAX(D28:D31)</f>
        <v>1589181.5096480043</v>
      </c>
    </row>
    <row r="33" spans="14:14" x14ac:dyDescent="0.25">
      <c r="N33" s="32">
        <f>MIN(D28:D31)</f>
        <v>1320981.4991209242</v>
      </c>
    </row>
  </sheetData>
  <mergeCells count="22">
    <mergeCell ref="N2:P2"/>
    <mergeCell ref="C3:E3"/>
    <mergeCell ref="C14:E14"/>
    <mergeCell ref="C25:E25"/>
    <mergeCell ref="H5:K5"/>
    <mergeCell ref="H6:K6"/>
    <mergeCell ref="H7:K7"/>
    <mergeCell ref="H16:K16"/>
    <mergeCell ref="H17:K17"/>
    <mergeCell ref="H18:K18"/>
    <mergeCell ref="H9:K9"/>
    <mergeCell ref="H20:K20"/>
    <mergeCell ref="H8:K8"/>
    <mergeCell ref="H30:K30"/>
    <mergeCell ref="H10:K10"/>
    <mergeCell ref="H21:K21"/>
    <mergeCell ref="H32:K32"/>
    <mergeCell ref="H27:K27"/>
    <mergeCell ref="H28:K28"/>
    <mergeCell ref="H29:K29"/>
    <mergeCell ref="H19:K19"/>
    <mergeCell ref="H31:K31"/>
  </mergeCells>
  <conditionalFormatting sqref="E6:E9">
    <cfRule type="colorScale" priority="3">
      <colorScale>
        <cfvo type="min"/>
        <cfvo type="max"/>
        <color rgb="FFEC5800"/>
        <color rgb="FFFFC000"/>
      </colorScale>
    </cfRule>
  </conditionalFormatting>
  <conditionalFormatting sqref="E17:E20">
    <cfRule type="colorScale" priority="2">
      <colorScale>
        <cfvo type="min"/>
        <cfvo type="max"/>
        <color rgb="FFEC5800"/>
        <color rgb="FFFFC000"/>
      </colorScale>
    </cfRule>
  </conditionalFormatting>
  <conditionalFormatting sqref="E28:E31">
    <cfRule type="colorScale" priority="1">
      <colorScale>
        <cfvo type="min"/>
        <cfvo type="max"/>
        <color rgb="FFEC5800"/>
        <color rgb="FFFFC000"/>
      </colorScale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Cost Sheet Elements</vt:lpstr>
      <vt:lpstr>Base Price</vt:lpstr>
      <vt:lpstr>Cost Sheet</vt:lpstr>
      <vt:lpstr>Income Statement</vt:lpstr>
      <vt:lpstr>Per Unit &amp; Monthly FX Impact</vt:lpstr>
      <vt:lpstr>Quarterly FX Impact</vt:lpstr>
      <vt:lpstr>Per Unit Hedging Impact</vt:lpstr>
      <vt:lpstr>Monthly Hedging Impact</vt:lpstr>
      <vt:lpstr>Quarterly Hedging Effect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Sharath.S</dc:creator>
  <cp:lastModifiedBy>Sharath.S</cp:lastModifiedBy>
  <cp:lastPrinted>2026-01-08T11:07:26Z</cp:lastPrinted>
  <dcterms:created xsi:type="dcterms:W3CDTF">2026-01-08T09:42:33Z</dcterms:created>
  <dcterms:modified xsi:type="dcterms:W3CDTF">2026-01-19T16:48:08Z</dcterms:modified>
</cp:coreProperties>
</file>